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ll programs" sheetId="2" state="visible" r:id="rId4"/>
    <sheet name="Summary" sheetId="3" state="visible" r:id="rId5"/>
  </sheets>
  <definedNames>
    <definedName function="false" hidden="true" localSheetId="1" name="_xlnm._FilterDatabase" vbProcedure="false">'All programs'!$A$1:$N$222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<sst xmlns="http://schemas.openxmlformats.org/spreadsheetml/2006/main" count="3157" uniqueCount="955">
  <si>
    <t xml:space="preserve">Survey of U.S. Household Technology-Adoption Incentives: Federal and 50 States</t>
  </si>
  <si>
    <t xml:space="preserve">Compiled June 2026. Framing: evidence on the generalizability of a forward-looking durable-goods adoption model across incentivized household technologies.</t>
  </si>
  <si>
    <t xml:space="preserve">Model-feature coding scheme</t>
  </si>
  <si>
    <t xml:space="preserve">Each program is coded on the four structural features of the adoption model. Codes: Y (feature present), Partial (feature present but attenuated), No (feature absent). Codes for NPV and Visibility are assigned by technology; codes for the time path and timing features are assigned from the incentive mechanism and current program status. These are analyst codings to support qualitative pattern-matching, not program attributes claimed by the administrators.</t>
  </si>
  <si>
    <t xml:space="preserve">1. NPV durable good. The incentive targets a durable asset whose adoption rests on the net present value of a future benefit stream weighed against an upfront cost (solar, storage, EVs, heat pumps, weatherization, panels). Weaker (Partial) for appliances, EV chargers, water-efficiency retrofits, and smart thermostats; absent for broadband service subsidies.</t>
  </si>
  <si>
    <t xml:space="preserve">2. Time-varying incentive path. The incentive amount changes over time through a scheduled step-down (block-declining tariffs, ITC schedules), a statutory sunset, or budget-driven exhaustion and reservation. Net-metering and net-billing rates are coded Partial because they are revised through periodic regulatory dockets. Stable sales- and property-tax exemptions are coded No.</t>
  </si>
  <si>
    <t xml:space="preserve">3. Visibility / peer effects. The adopted technology is socially observable to neighbors, generating the visibility channel for peer contagion (rooftop solar, EVs, exterior heat-pump and turf installations). Absent for insulation, panels, water heaters, appliances, and broadband.</t>
  </si>
  <si>
    <t xml:space="preserve">4. Forward-looking timing. The incentive creates an intertemporal incentive to time adoption strategically, through announced deadlines, scheduled declines, or act-before-funds-are-gone budget constraints (waitlists, reservations, first-come funding).</t>
  </si>
  <si>
    <t xml:space="preserve">Federal note: The One Big Beautiful Bill Act (PL 119-21, July 4, 2025) terminated the Sec. 25D residential clean-energy credit and the Sec. 25C efficiency credit after 12/31/2025, and the Sec. 30D and 25E vehicle credits after 9/30/2025. The Sec. 30C charger credit sunsets 6/30/2026. These sunsets are themselves a vivid instance of features 2 and 4.</t>
  </si>
  <si>
    <t xml:space="preserve">Coverage note: State coverage captures the flagship statewide and major-utility household programs per technology category, drawn from DSIRE and administrator pages. It is representative of each state's regime, not an exhaustive enumeration of every municipal or water-utility line item. Dollar amounts and statuses change with program years; the linked source is authoritative.</t>
  </si>
  <si>
    <t xml:space="preserve">Sheets: 'All programs' (full filterable matrix, federal + state) and 'Summary' (counts by technology, mechanism, status, and feature).</t>
  </si>
  <si>
    <t xml:space="preserve">Jurisdiction</t>
  </si>
  <si>
    <t xml:space="preserve">State</t>
  </si>
  <si>
    <t xml:space="preserve">Program</t>
  </si>
  <si>
    <t xml:space="preserve">Administrator</t>
  </si>
  <si>
    <t xml:space="preserve">Technology</t>
  </si>
  <si>
    <t xml:space="preserve">Mechanism</t>
  </si>
  <si>
    <t xml:space="preserve">Amount / rate</t>
  </si>
  <si>
    <t xml:space="preserve">Eligibility</t>
  </si>
  <si>
    <t xml:space="preserve">Status (June 2026)</t>
  </si>
  <si>
    <t xml:space="preserve">NPV durable good</t>
  </si>
  <si>
    <t xml:space="preserve">Time-varying path</t>
  </si>
  <si>
    <t xml:space="preserve">Visibility / peer</t>
  </si>
  <si>
    <t xml:space="preserve">Forward-looking timing</t>
  </si>
  <si>
    <t xml:space="preserve">Source URL</t>
  </si>
  <si>
    <t xml:space="preserve">Federal</t>
  </si>
  <si>
    <t xml:space="preserve">US</t>
  </si>
  <si>
    <t xml:space="preserve">Sec. 25D Residential Clean Energy Credit</t>
  </si>
  <si>
    <t xml:space="preserve">IRS / U.S. Treasury</t>
  </si>
  <si>
    <t xml:space="preserve">Solar PV; battery storage; geothermal; small wind; fuel cell</t>
  </si>
  <si>
    <t xml:space="preserve">Tax credit</t>
  </si>
  <si>
    <t xml:space="preserve">30% of system cost, no cap</t>
  </si>
  <si>
    <t xml:space="preserve">Homeowners, all incomes</t>
  </si>
  <si>
    <t xml:space="preserve">TERMINATED - no credit for expenditures after 12/31/2025 (PL 119-21)</t>
  </si>
  <si>
    <t xml:space="preserve">Y</t>
  </si>
  <si>
    <t xml:space="preserve">link</t>
  </si>
  <si>
    <t xml:space="preserve">Sec. 25C Energy Efficient Home Improvement Credit</t>
  </si>
  <si>
    <t xml:space="preserve">Heat pumps; HPWH; insulation; windows; doors; panels; audits</t>
  </si>
  <si>
    <t xml:space="preserve">30% of cost; up to $1,200/yr (+$2,000 for heat pumps)</t>
  </si>
  <si>
    <t xml:space="preserve">Homeowners</t>
  </si>
  <si>
    <t xml:space="preserve">TERMINATED - not allowed for property placed in service after 12/31/2025 (PL 119-21)</t>
  </si>
  <si>
    <t xml:space="preserve">Partial</t>
  </si>
  <si>
    <t xml:space="preserve">Sec. 30D Clean Vehicle Credit</t>
  </si>
  <si>
    <t xml:space="preserve">Electric vehicles (new)</t>
  </si>
  <si>
    <t xml:space="preserve">Up to $7,500</t>
  </si>
  <si>
    <t xml:space="preserve">Income and MSRP caps</t>
  </si>
  <si>
    <t xml:space="preserve">TERMINATED - vehicles acquired after 9/30/2025 ineligible (PL 119-21)</t>
  </si>
  <si>
    <t xml:space="preserve">Sec. 25E Previously-Owned Clean Vehicle Credit</t>
  </si>
  <si>
    <t xml:space="preserve">Electric vehicles (used)</t>
  </si>
  <si>
    <t xml:space="preserve">Up to $4,000 (30% of price)</t>
  </si>
  <si>
    <t xml:space="preserve">Income caps; price &lt;= $25,000</t>
  </si>
  <si>
    <t xml:space="preserve">Sec. 30C Alt. Fuel Vehicle Refueling Property Credit</t>
  </si>
  <si>
    <t xml:space="preserve">EV chargers</t>
  </si>
  <si>
    <t xml:space="preserve">30% of hardware+install, up to $1,000 residential</t>
  </si>
  <si>
    <t xml:space="preserve">Property in eligible census tracts</t>
  </si>
  <si>
    <t xml:space="preserve">ACTIVE but sunsetting - must be placed in service by 6/30/2026 (PL 119-21)</t>
  </si>
  <si>
    <t xml:space="preserve">Home Electrification &amp; Appliance Rebates (HEAR, IRA Sec. 50122)</t>
  </si>
  <si>
    <t xml:space="preserve">U.S. DOE via state energy offices</t>
  </si>
  <si>
    <t xml:space="preserve">Heat pumps; HPWH; panel; wiring; weatherization; ENERGY STAR appliances</t>
  </si>
  <si>
    <t xml:space="preserve">Point-of-sale rebate</t>
  </si>
  <si>
    <t xml:space="preserve">Up to $14,000/household (e.g., $8,000 heat pump, $1,750 HPWH, $4,000 panel)</t>
  </si>
  <si>
    <t xml:space="preserve">Income-limited (&lt;= 150% AMI)</t>
  </si>
  <si>
    <t xml:space="preserve">ACTIVE - state-administered, staggered 2025-2026 rollout</t>
  </si>
  <si>
    <t xml:space="preserve">Home Efficiency Rebates (HOMES, IRA Sec. 50121)</t>
  </si>
  <si>
    <t xml:space="preserve">Whole-home efficiency; weatherization</t>
  </si>
  <si>
    <t xml:space="preserve">Performance rebate</t>
  </si>
  <si>
    <t xml:space="preserve">Up to $8,000 (modeled/measured energy savings)</t>
  </si>
  <si>
    <t xml:space="preserve">All incomes; larger awards for low income</t>
  </si>
  <si>
    <t xml:space="preserve">No</t>
  </si>
  <si>
    <t xml:space="preserve">Weatherization Assistance Program (WAP)</t>
  </si>
  <si>
    <t xml:space="preserve">U.S. DOE / states / community action agencies</t>
  </si>
  <si>
    <t xml:space="preserve">Weatherization; insulation; HVAC; heat pumps</t>
  </si>
  <si>
    <t xml:space="preserve">Grant (free upgrades)</t>
  </si>
  <si>
    <t xml:space="preserve">Avg ~$6,500 per dwelling unit</t>
  </si>
  <si>
    <t xml:space="preserve">Income-limited (typically &lt;= 200% FPL)</t>
  </si>
  <si>
    <t xml:space="preserve">ACTIVE - FY2026 ~$329M; funding restored post-shutdown</t>
  </si>
  <si>
    <t xml:space="preserve">Low Income Home Energy Assistance Program (LIHEAP)</t>
  </si>
  <si>
    <t xml:space="preserve">U.S. HHS / Administration for Children &amp; Families</t>
  </si>
  <si>
    <t xml:space="preserve">Heating/cooling bill assistance; some weatherization</t>
  </si>
  <si>
    <t xml:space="preserve">Grant / bill subsidy</t>
  </si>
  <si>
    <t xml:space="preserve">Varies by state and need</t>
  </si>
  <si>
    <t xml:space="preserve">Income-limited</t>
  </si>
  <si>
    <t xml:space="preserve">ACTIVE - ~$4.05B appropriated through FY2026</t>
  </si>
  <si>
    <t xml:space="preserve">Lifeline Program</t>
  </si>
  <si>
    <t xml:space="preserve">FCC / Universal Service Fund</t>
  </si>
  <si>
    <t xml:space="preserve">Broadband and voice service</t>
  </si>
  <si>
    <t xml:space="preserve">Bill subsidy</t>
  </si>
  <si>
    <t xml:space="preserve">$9.25/mo ($34.25 on Tribal lands)</t>
  </si>
  <si>
    <t xml:space="preserve">Income- or program-eligible (SNAP, Medicaid, SSI, etc.)</t>
  </si>
  <si>
    <t xml:space="preserve">ACTIVE</t>
  </si>
  <si>
    <t xml:space="preserve">Affordable Connectivity Program (ACP)</t>
  </si>
  <si>
    <t xml:space="preserve">FCC</t>
  </si>
  <si>
    <t xml:space="preserve">Broadband service</t>
  </si>
  <si>
    <t xml:space="preserve">$30/mo ($75 Tribal)</t>
  </si>
  <si>
    <t xml:space="preserve">Income-eligible (&lt;= 200% FPL)</t>
  </si>
  <si>
    <t xml:space="preserve">TERMINATED - funds exhausted, program ended mid-2024; not renewed</t>
  </si>
  <si>
    <t xml:space="preserve">Broadband Equity, Access &amp; Deployment (BEAD)</t>
  </si>
  <si>
    <t xml:space="preserve">NTIA via state broadband offices</t>
  </si>
  <si>
    <t xml:space="preserve">Broadband infrastructure (some adoption)</t>
  </si>
  <si>
    <t xml:space="preserve">Grant</t>
  </si>
  <si>
    <t xml:space="preserve">$42.45B nationally</t>
  </si>
  <si>
    <t xml:space="preserve">Unserved/underserved locations</t>
  </si>
  <si>
    <t xml:space="preserve">ACTIVE - states in implementation</t>
  </si>
  <si>
    <t xml:space="preserve">Rural Energy for America Program (REAP)</t>
  </si>
  <si>
    <t xml:space="preserve">USDA Rural Development</t>
  </si>
  <si>
    <t xml:space="preserve">Renewable energy &amp; efficiency (rural; limited residential)</t>
  </si>
  <si>
    <t xml:space="preserve">Grant + loan guarantee</t>
  </si>
  <si>
    <t xml:space="preserve">Up to 50% of cost (grant)</t>
  </si>
  <si>
    <t xml:space="preserve">Rural ag producers &amp; small businesses</t>
  </si>
  <si>
    <t xml:space="preserve">ACTIVE - funded through 9/2026</t>
  </si>
  <si>
    <t xml:space="preserve">Sec. 48E Clean Electricity Investment Credit (third-party-owned residential)</t>
  </si>
  <si>
    <t xml:space="preserve">Solar PV; storage via lease/PPA</t>
  </si>
  <si>
    <t xml:space="preserve">Tax credit (to system owner)</t>
  </si>
  <si>
    <t xml:space="preserve">30% base; passed to lessee via lower payments</t>
  </si>
  <si>
    <t xml:space="preserve">Households leasing or under PPA</t>
  </si>
  <si>
    <t xml:space="preserve">ACTIVE but phasing out - solar must begin construction by 7/2026 or be placed in service by 12/31/2027 (PL 119-21)</t>
  </si>
  <si>
    <t xml:space="preserve">EPA WaterSense</t>
  </si>
  <si>
    <t xml:space="preserve">U.S. EPA</t>
  </si>
  <si>
    <t xml:space="preserve">Water-efficient fixtures and irrigation</t>
  </si>
  <si>
    <t xml:space="preserve">Labeling (enables local rebates)</t>
  </si>
  <si>
    <t xml:space="preserve">No direct federal payment</t>
  </si>
  <si>
    <t xml:space="preserve">All households</t>
  </si>
  <si>
    <t xml:space="preserve">ACTIVE - certification label only</t>
  </si>
  <si>
    <t xml:space="preserve">ENERGY STAR</t>
  </si>
  <si>
    <t xml:space="preserve">U.S. EPA / DOE</t>
  </si>
  <si>
    <t xml:space="preserve">Efficient appliances, electronics, HVAC</t>
  </si>
  <si>
    <t xml:space="preserve">Labeling (enables utility rebates)</t>
  </si>
  <si>
    <t xml:space="preserve">ACTIVE - label program; FY2026 funding restored</t>
  </si>
  <si>
    <t xml:space="preserve">ME</t>
  </si>
  <si>
    <t xml:space="preserve">Net Energy Billing</t>
  </si>
  <si>
    <t xml:space="preserve">Maine PUC</t>
  </si>
  <si>
    <t xml:space="preserve">Solar PV</t>
  </si>
  <si>
    <t xml:space="preserve">Net metering</t>
  </si>
  <si>
    <t xml:space="preserve">Bill credits ~ standard-offer rate; systems up to 660 kW</t>
  </si>
  <si>
    <t xml:space="preserve">Statewide</t>
  </si>
  <si>
    <t xml:space="preserve">Active</t>
  </si>
  <si>
    <t xml:space="preserve">Efficiency Maine Heat Pump Rebates</t>
  </si>
  <si>
    <t xml:space="preserve">Efficiency Maine Trust</t>
  </si>
  <si>
    <t xml:space="preserve">Heat pumps</t>
  </si>
  <si>
    <t xml:space="preserve">Rebate</t>
  </si>
  <si>
    <t xml:space="preserve">$1,000/unit standard; up to ~$3,000+ low income; up to 3 units</t>
  </si>
  <si>
    <t xml:space="preserve">Statewide; income tiers</t>
  </si>
  <si>
    <t xml:space="preserve">Efficiency Maine Heat Pump Water Heater Rebate</t>
  </si>
  <si>
    <t xml:space="preserve">HPWH</t>
  </si>
  <si>
    <t xml:space="preserve">Up to ~$850 (higher if income-eligible)</t>
  </si>
  <si>
    <t xml:space="preserve">Efficiency Maine Weatherization/Insulation</t>
  </si>
  <si>
    <t xml:space="preserve">Weatherization</t>
  </si>
  <si>
    <t xml:space="preserve">Up to ~$8,000 (income-eligible)</t>
  </si>
  <si>
    <t xml:space="preserve">Efficiency Maine Appliance Rebates</t>
  </si>
  <si>
    <t xml:space="preserve">Appliances</t>
  </si>
  <si>
    <t xml:space="preserve">Varies (heat pump dryers, etc.)</t>
  </si>
  <si>
    <t xml:space="preserve">NH</t>
  </si>
  <si>
    <t xml:space="preserve">Residential Renewable Electrical Generation Rebate</t>
  </si>
  <si>
    <t xml:space="preserve">NH Dept. of Energy</t>
  </si>
  <si>
    <t xml:space="preserve">$0.20/W or 25% of cost, max $1,000; systems &lt;= 10 kW</t>
  </si>
  <si>
    <t xml:space="preserve">Active (first-come; waitlist when funds out)</t>
  </si>
  <si>
    <t xml:space="preserve">Net Metering</t>
  </si>
  <si>
    <t xml:space="preserve">NH PUC</t>
  </si>
  <si>
    <t xml:space="preserve">Export credits ~ retail less default-service portion (~85%)</t>
  </si>
  <si>
    <t xml:space="preserve">Eversource ConnectedSolutions Battery</t>
  </si>
  <si>
    <t xml:space="preserve">Eversource</t>
  </si>
  <si>
    <t xml:space="preserve">Battery storage</t>
  </si>
  <si>
    <t xml:space="preserve">Performance/DR payment</t>
  </si>
  <si>
    <t xml:space="preserve">$230/kWh enrolled, cap $3,000/account</t>
  </si>
  <si>
    <t xml:space="preserve">Eversource customers</t>
  </si>
  <si>
    <t xml:space="preserve">NHSaves Heat Pump / Weatherization Rebates</t>
  </si>
  <si>
    <t xml:space="preserve">NH utilities (NHSaves)</t>
  </si>
  <si>
    <t xml:space="preserve">Heat pumps; Weatherization</t>
  </si>
  <si>
    <t xml:space="preserve">Heat-pump rebates; weatherization 0-100% by income</t>
  </si>
  <si>
    <t xml:space="preserve">VT</t>
  </si>
  <si>
    <t xml:space="preserve">VT PUC / utilities</t>
  </si>
  <si>
    <t xml:space="preserve">Credits at blended residential rate with adjustor</t>
  </si>
  <si>
    <t xml:space="preserve">Efficiency Vermont Heat Pump Rebates</t>
  </si>
  <si>
    <t xml:space="preserve">Efficiency Vermont</t>
  </si>
  <si>
    <t xml:space="preserve">$475/ductless head; $2,200/ducted system</t>
  </si>
  <si>
    <t xml:space="preserve">Efficiency Vermont Weatherization</t>
  </si>
  <si>
    <t xml:space="preserve">Up to 90% cash back (enhanced)</t>
  </si>
  <si>
    <t xml:space="preserve">Active through end of 2026 / while funds last</t>
  </si>
  <si>
    <t xml:space="preserve">Burlington Electric EV Rebate</t>
  </si>
  <si>
    <t xml:space="preserve">Burlington Electric Dept.</t>
  </si>
  <si>
    <t xml:space="preserve">Electric vehicles</t>
  </si>
  <si>
    <t xml:space="preserve">$5,000 new EV; $2,000 PHEV (+ income bonus)</t>
  </si>
  <si>
    <t xml:space="preserve">BED customers</t>
  </si>
  <si>
    <t xml:space="preserve">Active through 12/31/2026</t>
  </si>
  <si>
    <t xml:space="preserve">Green Mountain Power EV Rebate</t>
  </si>
  <si>
    <t xml:space="preserve">Green Mountain Power</t>
  </si>
  <si>
    <t xml:space="preserve">Income-eligible new/used EV; $750 used PHEV</t>
  </si>
  <si>
    <t xml:space="preserve">GMP customers; income for EV</t>
  </si>
  <si>
    <t xml:space="preserve">Active through 6/30/2026</t>
  </si>
  <si>
    <t xml:space="preserve">MA</t>
  </si>
  <si>
    <t xml:space="preserve">SMART Program</t>
  </si>
  <si>
    <t xml:space="preserve">MA DOER / utilities</t>
  </si>
  <si>
    <t xml:space="preserve">Performance payment (tariff)</t>
  </si>
  <si>
    <t xml:space="preserve">Fixed $/kWh for 10 years (block-declining)</t>
  </si>
  <si>
    <t xml:space="preserve">Mass Save Heat Pump Rebates</t>
  </si>
  <si>
    <t xml:space="preserve">Mass Save (utilities)</t>
  </si>
  <si>
    <t xml:space="preserve">Up to $10,000 (whole-home)</t>
  </si>
  <si>
    <t xml:space="preserve">Statewide; income adders</t>
  </si>
  <si>
    <t xml:space="preserve">Mass Save Weatherization/Insulation</t>
  </si>
  <si>
    <t xml:space="preserve">Up to 75-100% of insulation cost (income-based)</t>
  </si>
  <si>
    <t xml:space="preserve">ConnectedSolutions Battery</t>
  </si>
  <si>
    <t xml:space="preserve">$275/kW of avg summer peak contribution</t>
  </si>
  <si>
    <t xml:space="preserve">ConnectedSolutions Thermostat</t>
  </si>
  <si>
    <t xml:space="preserve">Smart thermostat / DR</t>
  </si>
  <si>
    <t xml:space="preserve">Performance payment</t>
  </si>
  <si>
    <t xml:space="preserve">$50 enroll + $20/yr per thermostat</t>
  </si>
  <si>
    <t xml:space="preserve">MOR-EV</t>
  </si>
  <si>
    <t xml:space="preserve">MA DOER / CSE</t>
  </si>
  <si>
    <t xml:space="preserve">$3,500 new EV; +$1,500 income adder; $3,500 used</t>
  </si>
  <si>
    <t xml:space="preserve">Statewide; income adder</t>
  </si>
  <si>
    <t xml:space="preserve">RI</t>
  </si>
  <si>
    <t xml:space="preserve">Renewable Energy Growth (REG)</t>
  </si>
  <si>
    <t xml:space="preserve">Rhode Island Energy</t>
  </si>
  <si>
    <t xml:space="preserve">$0.2723/kWh residential (&lt;= 25 kW), fixed 15 yrs (PY2026)</t>
  </si>
  <si>
    <t xml:space="preserve">RI PUC / RI Energy</t>
  </si>
  <si>
    <t xml:space="preserve">~80% retail (~$0.232/kWh); stackable with REG</t>
  </si>
  <si>
    <t xml:space="preserve">Energy Storage Rebate</t>
  </si>
  <si>
    <t xml:space="preserve">RI Office of Energy Resources</t>
  </si>
  <si>
    <t xml:space="preserve">$250/kWh (residential/small business)</t>
  </si>
  <si>
    <t xml:space="preserve">Clean Heat RI</t>
  </si>
  <si>
    <t xml:space="preserve">Heat pumps; HPWH</t>
  </si>
  <si>
    <t xml:space="preserve">60% of cost up to $11,500; HPWH $2,500; up to $18,000 income-eligible</t>
  </si>
  <si>
    <t xml:space="preserve">Active (ARPA funds obligate by 12/31/2026)</t>
  </si>
  <si>
    <t xml:space="preserve">DRIVE EV</t>
  </si>
  <si>
    <t xml:space="preserve">RI DEM / OER</t>
  </si>
  <si>
    <t xml:space="preserve">Up to $3,000 new BEV; $2,000 PHEV; $2,500 used BEV</t>
  </si>
  <si>
    <t xml:space="preserve">Active (first-come)</t>
  </si>
  <si>
    <t xml:space="preserve">CT</t>
  </si>
  <si>
    <t xml:space="preserve">Residential Renewable Energy Solutions (RRES)</t>
  </si>
  <si>
    <t xml:space="preserve">PURA / Eversource &amp; UI</t>
  </si>
  <si>
    <t xml:space="preserve">Net metering / Buy-All tariff</t>
  </si>
  <si>
    <t xml:space="preserve">Netting at ~retail or Buy-All tariff</t>
  </si>
  <si>
    <t xml:space="preserve">Energy Storage Solutions</t>
  </si>
  <si>
    <t xml:space="preserve">PURA / utilities</t>
  </si>
  <si>
    <t xml:space="preserve">Upfront + performance payment</t>
  </si>
  <si>
    <t xml:space="preserve">Upfront $/kWh + per-kW DR payments</t>
  </si>
  <si>
    <t xml:space="preserve">Energize CT Heat Pump Rebates</t>
  </si>
  <si>
    <t xml:space="preserve">Eversource / UI</t>
  </si>
  <si>
    <t xml:space="preserve">$250/ton standard; up to $1,000/ton; up to $10,000</t>
  </si>
  <si>
    <t xml:space="preserve">CHEAPR</t>
  </si>
  <si>
    <t xml:space="preserve">CT DEEP</t>
  </si>
  <si>
    <t xml:space="preserve">$1,000 new BEV; Rebate+ up to $4,500 new / $5,000 used</t>
  </si>
  <si>
    <t xml:space="preserve">Smart-E Loan</t>
  </si>
  <si>
    <t xml:space="preserve">CT Green Bank</t>
  </si>
  <si>
    <t xml:space="preserve">Solar; heat pumps; efficiency (financing)</t>
  </si>
  <si>
    <t xml:space="preserve">Loan</t>
  </si>
  <si>
    <t xml:space="preserve">Low-rate financing (promo rates by measure)</t>
  </si>
  <si>
    <t xml:space="preserve">NY</t>
  </si>
  <si>
    <t xml:space="preserve">NYS Solar Energy System Equipment Tax Credit</t>
  </si>
  <si>
    <t xml:space="preserve">NY Dept. of Tax &amp; Finance</t>
  </si>
  <si>
    <t xml:space="preserve">25% of system cost, up to $5,000</t>
  </si>
  <si>
    <t xml:space="preserve">NY-Sun Megawatt Block</t>
  </si>
  <si>
    <t xml:space="preserve">NYSERDA</t>
  </si>
  <si>
    <t xml:space="preserve">~$0.20-$0.40/W (block-declining)</t>
  </si>
  <si>
    <t xml:space="preserve">Residential Energy Storage Incentive</t>
  </si>
  <si>
    <t xml:space="preserve">$200/kWh upstate; $250/kWh Con Ed territory</t>
  </si>
  <si>
    <t xml:space="preserve">NYS Clean Heat</t>
  </si>
  <si>
    <t xml:space="preserve">NYSERDA / utilities</t>
  </si>
  <si>
    <t xml:space="preserve">Heat pumps; geothermal</t>
  </si>
  <si>
    <t xml:space="preserve">$6,000-$12,000 air-source; up to $25,000 geothermal</t>
  </si>
  <si>
    <t xml:space="preserve">Utility customers</t>
  </si>
  <si>
    <t xml:space="preserve">EmPower+</t>
  </si>
  <si>
    <t xml:space="preserve">Weatherization; electrification</t>
  </si>
  <si>
    <t xml:space="preserve">No-cost upgrades up to ~$24,000</t>
  </si>
  <si>
    <t xml:space="preserve">&lt;= 60% State Median Income</t>
  </si>
  <si>
    <t xml:space="preserve">Drive Clean Rebate</t>
  </si>
  <si>
    <t xml:space="preserve">$500-$2,000 off MSRP</t>
  </si>
  <si>
    <t xml:space="preserve">NJ</t>
  </si>
  <si>
    <t xml:space="preserve">Successor Solar Incentive (SuSI/ADI)</t>
  </si>
  <si>
    <t xml:space="preserve">NJ BPU</t>
  </si>
  <si>
    <t xml:space="preserve">$85/MWh ($0.085/kWh) for 15 years</t>
  </si>
  <si>
    <t xml:space="preserve">Solar Sales &amp; Property Tax Exemption</t>
  </si>
  <si>
    <t xml:space="preserve">State of New Jersey</t>
  </si>
  <si>
    <t xml:space="preserve">Tax exemption</t>
  </si>
  <si>
    <t xml:space="preserve">100% sales-tax + 100% property-tax exemption</t>
  </si>
  <si>
    <t xml:space="preserve">NJ BPU / utilities</t>
  </si>
  <si>
    <t xml:space="preserve">Full retail-rate bill credits</t>
  </si>
  <si>
    <t xml:space="preserve">Charge Up New Jersey</t>
  </si>
  <si>
    <t xml:space="preserve">Up to $4,000 new BEV (price-capped)</t>
  </si>
  <si>
    <t xml:space="preserve">In-Home EV Charger Incentive</t>
  </si>
  <si>
    <t xml:space="preserve">$250 for Level 2 charger</t>
  </si>
  <si>
    <t xml:space="preserve">NJ Clean Energy Whole-Home / HPWH Rebates</t>
  </si>
  <si>
    <t xml:space="preserve">NJ Clean Energy Program</t>
  </si>
  <si>
    <t xml:space="preserve">~$4,000 ducted heat pump; HPWH rebates</t>
  </si>
  <si>
    <t xml:space="preserve">PA</t>
  </si>
  <si>
    <t xml:space="preserve">PA PUC / IOUs</t>
  </si>
  <si>
    <t xml:space="preserve">Full retail-rate credits up to 100% of annual use</t>
  </si>
  <si>
    <t xml:space="preserve">Statewide (IOU customers)</t>
  </si>
  <si>
    <t xml:space="preserve">Solar Renewable Energy Credits (AEPS)</t>
  </si>
  <si>
    <t xml:space="preserve">PA PUC / market</t>
  </si>
  <si>
    <t xml:space="preserve">Tradable credit</t>
  </si>
  <si>
    <t xml:space="preserve">~$25-$40/SREC</t>
  </si>
  <si>
    <t xml:space="preserve">Penn Energy Savers (HER/HEAR)</t>
  </si>
  <si>
    <t xml:space="preserve">PA DEP</t>
  </si>
  <si>
    <t xml:space="preserve">Heat pumps; weatherization; panels; HPWH</t>
  </si>
  <si>
    <t xml:space="preserve">Up to $8,000 heat pump (income-qualified)</t>
  </si>
  <si>
    <t xml:space="preserve">&lt;= 150% AMI</t>
  </si>
  <si>
    <t xml:space="preserve">Administrators hired; not yet launched as of early 2026</t>
  </si>
  <si>
    <t xml:space="preserve">DE</t>
  </si>
  <si>
    <t xml:space="preserve">Green Energy Program (Solar)</t>
  </si>
  <si>
    <t xml:space="preserve">DNREC / utilities</t>
  </si>
  <si>
    <t xml:space="preserve">Delmarva ~$0.70/W, max ~$6,000 residential</t>
  </si>
  <si>
    <t xml:space="preserve">Utility-specific</t>
  </si>
  <si>
    <t xml:space="preserve">DE PSC / utilities</t>
  </si>
  <si>
    <t xml:space="preserve">Full retail credit; residential &lt;= 25 kW</t>
  </si>
  <si>
    <t xml:space="preserve">Home Electrification &amp; Appliance Rebates (HEAR)</t>
  </si>
  <si>
    <t xml:space="preserve">DNREC</t>
  </si>
  <si>
    <t xml:space="preserve">Heat pumps; HPWH; panels; appliances</t>
  </si>
  <si>
    <t xml:space="preserve">Up to $8,000 heat pump; up to $14,000 total</t>
  </si>
  <si>
    <t xml:space="preserve">Active (rolling out)</t>
  </si>
  <si>
    <t xml:space="preserve">MD</t>
  </si>
  <si>
    <t xml:space="preserve">Residential Clean Energy Rebate Program</t>
  </si>
  <si>
    <t xml:space="preserve">Maryland Energy Administration</t>
  </si>
  <si>
    <t xml:space="preserve">Flat $1,000 per residential PV system</t>
  </si>
  <si>
    <t xml:space="preserve">Active (annual funding)</t>
  </si>
  <si>
    <t xml:space="preserve">Net Energy Metering</t>
  </si>
  <si>
    <t xml:space="preserve">MD PSC / utilities</t>
  </si>
  <si>
    <t xml:space="preserve">Full retail-rate credit; up to 200% of usage</t>
  </si>
  <si>
    <t xml:space="preserve">Statewide (IOUs)</t>
  </si>
  <si>
    <t xml:space="preserve">Energy Storage Grant (RCES)</t>
  </si>
  <si>
    <t xml:space="preserve">Up to ~$5,000 residential (prior tax credit closed 2024)</t>
  </si>
  <si>
    <t xml:space="preserve">Statewide; competitive</t>
  </si>
  <si>
    <t xml:space="preserve">Active FY26 (first-come)</t>
  </si>
  <si>
    <t xml:space="preserve">EmPOWER Home Performance / Electrification</t>
  </si>
  <si>
    <t xml:space="preserve">MEA + utilities</t>
  </si>
  <si>
    <t xml:space="preserve">Heat pumps; weatherization; panels</t>
  </si>
  <si>
    <t xml:space="preserve">Up to $15,000 (75% of cost)</t>
  </si>
  <si>
    <t xml:space="preserve">Statewide ratepayers</t>
  </si>
  <si>
    <t xml:space="preserve">Active (2026 funding cuts proposed)</t>
  </si>
  <si>
    <t xml:space="preserve">EV Excise Tax Credit</t>
  </si>
  <si>
    <t xml:space="preserve">MDOT MVA</t>
  </si>
  <si>
    <t xml:space="preserve">Up to $3,000</t>
  </si>
  <si>
    <t xml:space="preserve">Statewide; price cap</t>
  </si>
  <si>
    <t xml:space="preserve">Waitlist - FY26 funds depleted</t>
  </si>
  <si>
    <t xml:space="preserve">EVSE Charger Rebate</t>
  </si>
  <si>
    <t xml:space="preserve">50% of cost up to $700 residential</t>
  </si>
  <si>
    <t xml:space="preserve">Statewide; first-come</t>
  </si>
  <si>
    <t xml:space="preserve">Active - in service by 6/30/2026</t>
  </si>
  <si>
    <t xml:space="preserve">VA</t>
  </si>
  <si>
    <t xml:space="preserve">VA SCC / Dominion &amp; APCo</t>
  </si>
  <si>
    <t xml:space="preserve">Full retail-rate credits; &lt;= 25 kW residential</t>
  </si>
  <si>
    <t xml:space="preserve">Active - 1:1 NEM + SRECs preserved (2026 ruling)</t>
  </si>
  <si>
    <t xml:space="preserve">Solar Sales &amp; Property Tax Exemptions</t>
  </si>
  <si>
    <t xml:space="preserve">State of Virginia / localities</t>
  </si>
  <si>
    <t xml:space="preserve">Sales-tax exemption; local property-tax exemption</t>
  </si>
  <si>
    <t xml:space="preserve">Dominion EV Charger Rewards</t>
  </si>
  <si>
    <t xml:space="preserve">Dominion Energy Virginia</t>
  </si>
  <si>
    <t xml:space="preserve">EV chargers / DR</t>
  </si>
  <si>
    <t xml:space="preserve">Rebate + performance</t>
  </si>
  <si>
    <t xml:space="preserve">$125 for L2 charger + $40/yr managed charging</t>
  </si>
  <si>
    <t xml:space="preserve">Dominion territory</t>
  </si>
  <si>
    <t xml:space="preserve">Home Energy Rebates (HEAR/HOMES)</t>
  </si>
  <si>
    <t xml:space="preserve">Virginia Energy</t>
  </si>
  <si>
    <t xml:space="preserve">Heat pumps; weatherization; appliances</t>
  </si>
  <si>
    <t xml:space="preserve">Up to $8,000/household; heat-pump support</t>
  </si>
  <si>
    <t xml:space="preserve">Income-tiered</t>
  </si>
  <si>
    <t xml:space="preserve">Pending - awaiting DOE approval</t>
  </si>
  <si>
    <t xml:space="preserve">WV</t>
  </si>
  <si>
    <t xml:space="preserve">WV PSC / utilities</t>
  </si>
  <si>
    <t xml:space="preserve">Mon Power 9.3c/kWh new; pre-2025 grandfathered at retail</t>
  </si>
  <si>
    <t xml:space="preserve">Active (reduced rate for new)</t>
  </si>
  <si>
    <t xml:space="preserve">WV Office of Energy</t>
  </si>
  <si>
    <t xml:space="preserve">Up to $8,000 heat pump; up to $16,000 HOMES</t>
  </si>
  <si>
    <t xml:space="preserve">Pending / in development 2026</t>
  </si>
  <si>
    <t xml:space="preserve">NC</t>
  </si>
  <si>
    <t xml:space="preserve">Net Metering (Bridge Rate)</t>
  </si>
  <si>
    <t xml:space="preserve">NCUC / Duke Energy</t>
  </si>
  <si>
    <t xml:space="preserve">Monthly retail-rate credits (Bridge Rate)</t>
  </si>
  <si>
    <t xml:space="preserve">Statewide (Duke)</t>
  </si>
  <si>
    <t xml:space="preserve">Active - closes to new applicants 12/31/2026</t>
  </si>
  <si>
    <t xml:space="preserve">Duke Energy Solar Rebate / PowerPair</t>
  </si>
  <si>
    <t xml:space="preserve">Duke Energy</t>
  </si>
  <si>
    <t xml:space="preserve">Solar PV; battery storage</t>
  </si>
  <si>
    <t xml:space="preserve">$0.60/W up to 10 kW; PowerPair up to ~$9,000 solar+battery</t>
  </si>
  <si>
    <t xml:space="preserve">Duke territory; capped</t>
  </si>
  <si>
    <t xml:space="preserve">Active (lottery/queue)</t>
  </si>
  <si>
    <t xml:space="preserve">Solar Property Tax Abatement</t>
  </si>
  <si>
    <t xml:space="preserve">State of North Carolina</t>
  </si>
  <si>
    <t xml:space="preserve">80% property-tax abatement on residential solar</t>
  </si>
  <si>
    <t xml:space="preserve">Energy Saver NC - HEAR</t>
  </si>
  <si>
    <t xml:space="preserve">NC DEQ State Energy Office</t>
  </si>
  <si>
    <t xml:space="preserve">Heat pumps; HPWH; appliances; panels</t>
  </si>
  <si>
    <t xml:space="preserve">Up to $8,000 heat pump; $14,000 total</t>
  </si>
  <si>
    <t xml:space="preserve">Active - launched statewide Feb 2026</t>
  </si>
  <si>
    <t xml:space="preserve">SC</t>
  </si>
  <si>
    <t xml:space="preserve">State Solar Income Tax Credit</t>
  </si>
  <si>
    <t xml:space="preserve">SC Dept. of Revenue</t>
  </si>
  <si>
    <t xml:space="preserve">25% of cost, up to $3,500/yr; $35,000 max</t>
  </si>
  <si>
    <t xml:space="preserve">Active (no expiration)</t>
  </si>
  <si>
    <t xml:space="preserve">SC PSC / IOUs</t>
  </si>
  <si>
    <t xml:space="preserve">Bill credits; &lt;= 20 kW residential</t>
  </si>
  <si>
    <t xml:space="preserve">Statewide IOUs</t>
  </si>
  <si>
    <t xml:space="preserve">Active (subject to caps)</t>
  </si>
  <si>
    <t xml:space="preserve">SC Energy Office</t>
  </si>
  <si>
    <t xml:space="preserve">Up to $8,000 heat pump; $2,000-$16,000 HOMES</t>
  </si>
  <si>
    <t xml:space="preserve">&lt;= 150% AMI (HEAR)</t>
  </si>
  <si>
    <t xml:space="preserve">Pending - launch anticipated later 2026</t>
  </si>
  <si>
    <t xml:space="preserve">GA</t>
  </si>
  <si>
    <t xml:space="preserve">Georgia Power Solar Buy-Back (RNR)</t>
  </si>
  <si>
    <t xml:space="preserve">Georgia Power</t>
  </si>
  <si>
    <t xml:space="preserve">Net billing</t>
  </si>
  <si>
    <t xml:space="preserve">~7.2c/kWh export credit; &lt;= 10 kW AC</t>
  </si>
  <si>
    <t xml:space="preserve">Georgia Power territory; capped</t>
  </si>
  <si>
    <t xml:space="preserve">Active (no statewide NEM mandate)</t>
  </si>
  <si>
    <t xml:space="preserve">Home Energy Rebates (HEAR/HER)</t>
  </si>
  <si>
    <t xml:space="preserve">GA Environmental Finance Authority</t>
  </si>
  <si>
    <t xml:space="preserve">Heat pumps; HPWH; weatherization; panels; appliances</t>
  </si>
  <si>
    <t xml:space="preserve">HEAR up to $8,000 heat pump / $14,000 total</t>
  </si>
  <si>
    <t xml:space="preserve">Active - launched</t>
  </si>
  <si>
    <t xml:space="preserve">FL</t>
  </si>
  <si>
    <t xml:space="preserve">FL PSC / IOUs</t>
  </si>
  <si>
    <t xml:space="preserve">1:1 retail-rate credits</t>
  </si>
  <si>
    <t xml:space="preserve">IOU customers</t>
  </si>
  <si>
    <t xml:space="preserve">Solar &amp; CHP Sales Tax Exemption</t>
  </si>
  <si>
    <t xml:space="preserve">FL Dept. of Revenue</t>
  </si>
  <si>
    <t xml:space="preserve">100% sales-tax exemption on solar equipment</t>
  </si>
  <si>
    <t xml:space="preserve">Renewable Energy Property Tax Abatement</t>
  </si>
  <si>
    <t xml:space="preserve">State of Florida</t>
  </si>
  <si>
    <t xml:space="preserve">100% property-tax exemption on added value</t>
  </si>
  <si>
    <t xml:space="preserve">Statewide residential</t>
  </si>
  <si>
    <t xml:space="preserve">Florida Energy Saver (HEAR/HOMES)</t>
  </si>
  <si>
    <t xml:space="preserve">FDACS Office of Energy</t>
  </si>
  <si>
    <t xml:space="preserve">Heat pumps; appliances; weatherization</t>
  </si>
  <si>
    <t xml:space="preserve">Pending - not yet accepting applications</t>
  </si>
  <si>
    <t xml:space="preserve">KY</t>
  </si>
  <si>
    <t xml:space="preserve">KY PSC / IOUs &amp; co-ops</t>
  </si>
  <si>
    <t xml:space="preserve">PSC-set credit; &lt;= 45 kW; Duke KY at avoided cost</t>
  </si>
  <si>
    <t xml:space="preserve">Statewide (excl. TVA areas)</t>
  </si>
  <si>
    <t xml:space="preserve">Active (reduced compensation)</t>
  </si>
  <si>
    <t xml:space="preserve">TVA EnergyRight Rebates</t>
  </si>
  <si>
    <t xml:space="preserve">TVA / local power companies</t>
  </si>
  <si>
    <t xml:space="preserve">Heat pumps; solar</t>
  </si>
  <si>
    <t xml:space="preserve">Rebate / performance payment</t>
  </si>
  <si>
    <t xml:space="preserve">Heat-pump and HVAC rebates</t>
  </si>
  <si>
    <t xml:space="preserve">TVA service territory</t>
  </si>
  <si>
    <t xml:space="preserve">Kentucky Home Energy Rebates (HEAR/HER)</t>
  </si>
  <si>
    <t xml:space="preserve">KY Energy &amp; Environment Cabinet</t>
  </si>
  <si>
    <t xml:space="preserve">Heat pumps; weatherization; panels; appliances</t>
  </si>
  <si>
    <t xml:space="preserve">HEAR up to $8,000 heat pump</t>
  </si>
  <si>
    <t xml:space="preserve">Pending - in development 2026</t>
  </si>
  <si>
    <t xml:space="preserve">TN</t>
  </si>
  <si>
    <t xml:space="preserve">TVA EnergyRight Heat Pump / Efficiency Rebates</t>
  </si>
  <si>
    <t xml:space="preserve">Heat pumps; HPWH; weatherization; appliances</t>
  </si>
  <si>
    <t xml:space="preserve">$500-$1,500 heat pump; $1,500 geothermal</t>
  </si>
  <si>
    <t xml:space="preserve">TVA territory residential</t>
  </si>
  <si>
    <t xml:space="preserve">TN Home Energy Rebates (HEAR/HOMES)</t>
  </si>
  <si>
    <t xml:space="preserve">TN Dept. of Environment &amp; Conservation</t>
  </si>
  <si>
    <t xml:space="preserve">HEAR up to $8,000 heat pump; HOMES $2,000-$8,000</t>
  </si>
  <si>
    <t xml:space="preserve">Pending - approved, not launched</t>
  </si>
  <si>
    <t xml:space="preserve">AL</t>
  </si>
  <si>
    <t xml:space="preserve">Alabama Power Net Metering</t>
  </si>
  <si>
    <t xml:space="preserve">Alabama Power</t>
  </si>
  <si>
    <t xml:space="preserve">~3.35-4.69c/kWh export (below retail)</t>
  </si>
  <si>
    <t xml:space="preserve">Alabama Power territory</t>
  </si>
  <si>
    <t xml:space="preserve">Active (unfavorable rate)</t>
  </si>
  <si>
    <t xml:space="preserve">Heat pumps; efficiency</t>
  </si>
  <si>
    <t xml:space="preserve">$500-$1,500 heat pump; HVAC rebates</t>
  </si>
  <si>
    <t xml:space="preserve">TVA territory (N. Alabama)</t>
  </si>
  <si>
    <t xml:space="preserve">Home Energy Rebates (HOMES/HEAR)</t>
  </si>
  <si>
    <t xml:space="preserve">ADECA Energy Division</t>
  </si>
  <si>
    <t xml:space="preserve">HEAR up to $8,000 heat pump, $4,000 panel</t>
  </si>
  <si>
    <t xml:space="preserve">Rolling out 2026</t>
  </si>
  <si>
    <t xml:space="preserve">OH</t>
  </si>
  <si>
    <t xml:space="preserve">Net Metering (IOUs)</t>
  </si>
  <si>
    <t xml:space="preserve">OH utilities / PUCO</t>
  </si>
  <si>
    <t xml:space="preserve">Credit at generation component; &lt;= 25 kW residential</t>
  </si>
  <si>
    <t xml:space="preserve">ECO-Link Program</t>
  </si>
  <si>
    <t xml:space="preserve">Ohio Treasurer</t>
  </si>
  <si>
    <t xml:space="preserve">Weatherization; solar; HVAC (financing)</t>
  </si>
  <si>
    <t xml:space="preserve">Loan (interest buy-down)</t>
  </si>
  <si>
    <t xml:space="preserve">3% rate reduction for up to 5 yrs</t>
  </si>
  <si>
    <t xml:space="preserve">Statewide homeowners</t>
  </si>
  <si>
    <t xml:space="preserve">Qualified Energy Property Tax Exemption</t>
  </si>
  <si>
    <t xml:space="preserve">Ohio (county-approved)</t>
  </si>
  <si>
    <t xml:space="preserve">100% of added assessed value</t>
  </si>
  <si>
    <t xml:space="preserve">Statewide (application)</t>
  </si>
  <si>
    <t xml:space="preserve">Utility Efficiency Rebates</t>
  </si>
  <si>
    <t xml:space="preserve">AEP Ohio; Duke; AES</t>
  </si>
  <si>
    <t xml:space="preserve">Heat pumps; appliances; smart thermostat</t>
  </si>
  <si>
    <t xml:space="preserve">Varies by measure</t>
  </si>
  <si>
    <t xml:space="preserve">MI</t>
  </si>
  <si>
    <t xml:space="preserve">Distributed Generation Program</t>
  </si>
  <si>
    <t xml:space="preserve">DTE / Consumers (MPSC)</t>
  </si>
  <si>
    <t xml:space="preserve">Inflow at retail; outflow at lower rate; &lt;= 20 kW</t>
  </si>
  <si>
    <t xml:space="preserve">Statewide (regulated utilities)</t>
  </si>
  <si>
    <t xml:space="preserve">Consumers / DTE EV Charger Rebate</t>
  </si>
  <si>
    <t xml:space="preserve">Consumers Energy; DTE</t>
  </si>
  <si>
    <t xml:space="preserve">$500 (up to $1,000 income-qualified)</t>
  </si>
  <si>
    <t xml:space="preserve">DTE / Consumers Heat Pump Rebates</t>
  </si>
  <si>
    <t xml:space="preserve">DTE; Consumers Energy</t>
  </si>
  <si>
    <t xml:space="preserve">DTE ~$150-$1,200; HPWH rebates</t>
  </si>
  <si>
    <t xml:space="preserve">DTE Smart Savers / Wi-Fi Thermostat</t>
  </si>
  <si>
    <t xml:space="preserve">DTE Energy</t>
  </si>
  <si>
    <t xml:space="preserve">Thermostat rebate + $50/yr DR credit</t>
  </si>
  <si>
    <t xml:space="preserve">DTE residential AC customers</t>
  </si>
  <si>
    <t xml:space="preserve">IN</t>
  </si>
  <si>
    <t xml:space="preserve">Excess Distributed Generation (EDG)</t>
  </si>
  <si>
    <t xml:space="preserve">AES; Duke; NIPSCO; I&amp;M; CenterPoint</t>
  </si>
  <si>
    <t xml:space="preserve">Excess paid at 125% of avoided cost</t>
  </si>
  <si>
    <t xml:space="preserve">Active (net metering closed to new)</t>
  </si>
  <si>
    <t xml:space="preserve">Solar Property &amp; Sales Tax Exemptions</t>
  </si>
  <si>
    <t xml:space="preserve">Indiana / DOR</t>
  </si>
  <si>
    <t xml:space="preserve">100% added value exempt; sales tax exempt</t>
  </si>
  <si>
    <t xml:space="preserve">Indiana Energy Saver Program (HEAR)</t>
  </si>
  <si>
    <t xml:space="preserve">IN OECD</t>
  </si>
  <si>
    <t xml:space="preserve">Heat pumps; panel; HPWH; weatherization</t>
  </si>
  <si>
    <t xml:space="preserve">Up to $8,000 heat pump; $1,750 HPWH; $4,000 panel</t>
  </si>
  <si>
    <t xml:space="preserve">&lt; 150% AMI</t>
  </si>
  <si>
    <t xml:space="preserve">Utility Heat Pump Rebates</t>
  </si>
  <si>
    <t xml:space="preserve">AES Indiana; Duke; NIPSCO</t>
  </si>
  <si>
    <t xml:space="preserve">AES up to $725; Duke up to $3,000; NIPSCO up to $1,000</t>
  </si>
  <si>
    <t xml:space="preserve">IL</t>
  </si>
  <si>
    <t xml:space="preserve">Illinois Shines (Adjustable Block / SREC)</t>
  </si>
  <si>
    <t xml:space="preserve">IL Power Agency</t>
  </si>
  <si>
    <t xml:space="preserve">Performance payment (upfront REC)</t>
  </si>
  <si>
    <t xml:space="preserve">15-yr REC paid upfront; ~$11k-$12k for 8.5 kW</t>
  </si>
  <si>
    <t xml:space="preserve">Statewide; income-qualified track</t>
  </si>
  <si>
    <t xml:space="preserve">Illinois Solar for All</t>
  </si>
  <si>
    <t xml:space="preserve">Grant / no-cost solar</t>
  </si>
  <si>
    <t xml:space="preserve">Covers most/all cost for income-qualified</t>
  </si>
  <si>
    <t xml:space="preserve">ComEd DG / Storage Rebate</t>
  </si>
  <si>
    <t xml:space="preserve">ComEd</t>
  </si>
  <si>
    <t xml:space="preserve">$300 per kW solar / per kWh storage (smart inverter)</t>
  </si>
  <si>
    <t xml:space="preserve">ComEd customers</t>
  </si>
  <si>
    <t xml:space="preserve">Virtual Power Plant Storage Rebate</t>
  </si>
  <si>
    <t xml:space="preserve">IPA / utilities</t>
  </si>
  <si>
    <t xml:space="preserve">$300/kWh + dispatch pay</t>
  </si>
  <si>
    <t xml:space="preserve">Launching by 6/30/2026</t>
  </si>
  <si>
    <t xml:space="preserve">Illinois EV Purchase Rebate</t>
  </si>
  <si>
    <t xml:space="preserve">IL EPA</t>
  </si>
  <si>
    <t xml:space="preserve">$4,000 (income-qualified) / $2,000 others</t>
  </si>
  <si>
    <t xml:space="preserve">Active (funding rounds)</t>
  </si>
  <si>
    <t xml:space="preserve">ComEd EV Charger Rebate</t>
  </si>
  <si>
    <t xml:space="preserve">$1,000-$3,750 for Level 2 charger</t>
  </si>
  <si>
    <t xml:space="preserve">ComEd customers; income tiers</t>
  </si>
  <si>
    <t xml:space="preserve">WI</t>
  </si>
  <si>
    <t xml:space="preserve">Focus on Energy - Solar Rewards</t>
  </si>
  <si>
    <t xml:space="preserve">Focus on Energy</t>
  </si>
  <si>
    <t xml:space="preserve">Cash-back reward for qualifying PV</t>
  </si>
  <si>
    <t xml:space="preserve">Focus on Energy - Heat Pump / HPWH</t>
  </si>
  <si>
    <t xml:space="preserve">~$400-$900 instant heat pump discount</t>
  </si>
  <si>
    <t xml:space="preserve">Focus on Energy - Insulation &amp; Appliances</t>
  </si>
  <si>
    <t xml:space="preserve">Weatherization; appliances; smart thermostat</t>
  </si>
  <si>
    <t xml:space="preserve">Insulation, appliance, thermostat rebates</t>
  </si>
  <si>
    <t xml:space="preserve">Home Electrification (HEAR) Rebates</t>
  </si>
  <si>
    <t xml:space="preserve">Heat pumps; panel; weatherization</t>
  </si>
  <si>
    <t xml:space="preserve">Up to $8,000 heat pump</t>
  </si>
  <si>
    <t xml:space="preserve">Income-qualified</t>
  </si>
  <si>
    <t xml:space="preserve">MN</t>
  </si>
  <si>
    <t xml:space="preserve">Xcel Solar*Rewards</t>
  </si>
  <si>
    <t xml:space="preserve">Xcel Energy</t>
  </si>
  <si>
    <t xml:space="preserve">$0.03/kWh 10-yr; income-qualified upfront $3.00/W</t>
  </si>
  <si>
    <t xml:space="preserve">Xcel customers; income tier</t>
  </si>
  <si>
    <t xml:space="preserve">Xcel Battery Storage Rebate</t>
  </si>
  <si>
    <t xml:space="preserve">$175/kWh up to $5,000 ($370/kWh income-qualified)</t>
  </si>
  <si>
    <t xml:space="preserve">Cold-Climate Heat Pump Rebate</t>
  </si>
  <si>
    <t xml:space="preserve">Xcel; CenterPoint</t>
  </si>
  <si>
    <t xml:space="preserve">Up to $2,000 ccASHP + $600 insulation bonus</t>
  </si>
  <si>
    <t xml:space="preserve">MN Commerce</t>
  </si>
  <si>
    <t xml:space="preserve">Heat pumps; weatherization; panel</t>
  </si>
  <si>
    <t xml:space="preserve">Up to ~$14,000</t>
  </si>
  <si>
    <t xml:space="preserve">Xcel AC Rewards / Saver's Switch</t>
  </si>
  <si>
    <t xml:space="preserve">$75 thermostat rebates + bill credits</t>
  </si>
  <si>
    <t xml:space="preserve">Xcel residential AC customers</t>
  </si>
  <si>
    <t xml:space="preserve">Solar Energy Sales Tax Exemption</t>
  </si>
  <si>
    <t xml:space="preserve">MN Dept. of Revenue</t>
  </si>
  <si>
    <t xml:space="preserve">Sales tax exempt on solar equipment</t>
  </si>
  <si>
    <t xml:space="preserve">Border-to-Border Broadband</t>
  </si>
  <si>
    <t xml:space="preserve">MN DEED Office of Broadband</t>
  </si>
  <si>
    <t xml:space="preserve">Broadband</t>
  </si>
  <si>
    <t xml:space="preserve">Up to 50% match</t>
  </si>
  <si>
    <t xml:space="preserve">Unserved/underserved</t>
  </si>
  <si>
    <t xml:space="preserve">IA</t>
  </si>
  <si>
    <t xml:space="preserve">MidAmerican; Alliant</t>
  </si>
  <si>
    <t xml:space="preserve">Full retail rate; value-of-solar transition 2027</t>
  </si>
  <si>
    <t xml:space="preserve">Active (changes 2027)</t>
  </si>
  <si>
    <t xml:space="preserve">Iowa / DOR</t>
  </si>
  <si>
    <t xml:space="preserve">Added value exempt 5 yrs; sales tax exempt</t>
  </si>
  <si>
    <t xml:space="preserve">MidAmerican / Alliant Efficiency Rebates</t>
  </si>
  <si>
    <t xml:space="preserve">MidAmerican; Alliant Energy</t>
  </si>
  <si>
    <t xml:space="preserve">MO</t>
  </si>
  <si>
    <t xml:space="preserve">Evergy Solar Rebate</t>
  </si>
  <si>
    <t xml:space="preserve">Evergy (Missouri)</t>
  </si>
  <si>
    <t xml:space="preserve">$0.25/W (~$2,525 for 10.5 kW)</t>
  </si>
  <si>
    <t xml:space="preserve">Evergy MO customers</t>
  </si>
  <si>
    <t xml:space="preserve">Ameren MO; Evergy</t>
  </si>
  <si>
    <t xml:space="preserve">Evergy 1:1; Ameren credits expire 12 mo</t>
  </si>
  <si>
    <t xml:space="preserve">Solar Property Tax Exemption</t>
  </si>
  <si>
    <t xml:space="preserve">Missouri</t>
  </si>
  <si>
    <t xml:space="preserve">Solar systems exempt from real-property assessment</t>
  </si>
  <si>
    <t xml:space="preserve">Ameren / Evergy Efficiency Rebates</t>
  </si>
  <si>
    <t xml:space="preserve">ND</t>
  </si>
  <si>
    <t xml:space="preserve">ND IOUs (PSC)</t>
  </si>
  <si>
    <t xml:space="preserve">Credit at full retail rate (IOUs)</t>
  </si>
  <si>
    <t xml:space="preserve">Renewable Energy Property Tax Exemption</t>
  </si>
  <si>
    <t xml:space="preserve">North Dakota</t>
  </si>
  <si>
    <t xml:space="preserve">100% of solar value exempt 5 yrs</t>
  </si>
  <si>
    <t xml:space="preserve">LIHEAP + Weatherization Assistance</t>
  </si>
  <si>
    <t xml:space="preserve">ND HHS / Community Action</t>
  </si>
  <si>
    <t xml:space="preserve">Grant (direct service)</t>
  </si>
  <si>
    <t xml:space="preserve">Heating benefit + weatherization upgrades</t>
  </si>
  <si>
    <t xml:space="preserve">SD</t>
  </si>
  <si>
    <t xml:space="preserve">Net Metering (limited)</t>
  </si>
  <si>
    <t xml:space="preserve">Some SD utilities</t>
  </si>
  <si>
    <t xml:space="preserve">Available through some utilities (no mandate)</t>
  </si>
  <si>
    <t xml:space="preserve">Varies by utility</t>
  </si>
  <si>
    <t xml:space="preserve">Active where offered</t>
  </si>
  <si>
    <t xml:space="preserve">South Dakota</t>
  </si>
  <si>
    <t xml:space="preserve">Property tax exemption for renewable systems</t>
  </si>
  <si>
    <t xml:space="preserve">Xcel AC Rewards (smart thermostat / DR)</t>
  </si>
  <si>
    <t xml:space="preserve">Thermostat rebates + bill credits</t>
  </si>
  <si>
    <t xml:space="preserve">Xcel SD residential AC customers</t>
  </si>
  <si>
    <t xml:space="preserve">SD Dept. of Social Services</t>
  </si>
  <si>
    <t xml:space="preserve">Heating benefit + weatherization services</t>
  </si>
  <si>
    <t xml:space="preserve">TX</t>
  </si>
  <si>
    <t xml:space="preserve">Austin Energy Solar PV Rebate + Value of Solar</t>
  </si>
  <si>
    <t xml:space="preserve">Austin Energy</t>
  </si>
  <si>
    <t xml:space="preserve">Rebate + performance tariff</t>
  </si>
  <si>
    <t xml:space="preserve">$2,500 rebate (&gt;= 3 kW); VoS export ~9.91c/kWh</t>
  </si>
  <si>
    <t xml:space="preserve">Austin Energy residential</t>
  </si>
  <si>
    <t xml:space="preserve">Oncor Residential Solar + Storage Program</t>
  </si>
  <si>
    <t xml:space="preserve">Oncor</t>
  </si>
  <si>
    <t xml:space="preserve">Up to $9,000; must include battery</t>
  </si>
  <si>
    <t xml:space="preserve">Oncor service territory</t>
  </si>
  <si>
    <t xml:space="preserve">AEP Texas SMART Source Solar PV Program</t>
  </si>
  <si>
    <t xml:space="preserve">AEP Texas</t>
  </si>
  <si>
    <t xml:space="preserve">Capacity-based incentive</t>
  </si>
  <si>
    <t xml:space="preserve">AEP Texas territory</t>
  </si>
  <si>
    <t xml:space="preserve">State of Texas</t>
  </si>
  <si>
    <t xml:space="preserve">100% of added home value exempt</t>
  </si>
  <si>
    <t xml:space="preserve">CPS Energy Residential Solar Rebate</t>
  </si>
  <si>
    <t xml:space="preserve">CPS Energy (San Antonio)</t>
  </si>
  <si>
    <t xml:space="preserve">Program funds exhausted</t>
  </si>
  <si>
    <t xml:space="preserve">CPS Energy customers</t>
  </si>
  <si>
    <t xml:space="preserve">Closed (exhausted)</t>
  </si>
  <si>
    <t xml:space="preserve">LCRA WaterSmart Residential Rebates</t>
  </si>
  <si>
    <t xml:space="preserve">Lower Colorado River Authority</t>
  </si>
  <si>
    <t xml:space="preserve">Water efficiency</t>
  </si>
  <si>
    <t xml:space="preserve">50% of cost up to $3,000; turf up to $2,000</t>
  </si>
  <si>
    <t xml:space="preserve">LCRA water service area</t>
  </si>
  <si>
    <t xml:space="preserve">El Paso Electric Residential HVAC Rebates</t>
  </si>
  <si>
    <t xml:space="preserve">El Paso Electric</t>
  </si>
  <si>
    <t xml:space="preserve">Heat pumps; appliances</t>
  </si>
  <si>
    <t xml:space="preserve">Rebates for AHRI-matched heat pumps</t>
  </si>
  <si>
    <t xml:space="preserve">EPE residential customers</t>
  </si>
  <si>
    <t xml:space="preserve">OK</t>
  </si>
  <si>
    <t xml:space="preserve">OK Corporation Commission / IOUs</t>
  </si>
  <si>
    <t xml:space="preserve">Netted at retail; surplus at avoided cost; &lt;= 300 kW</t>
  </si>
  <si>
    <t xml:space="preserve">Regulated-utility customers</t>
  </si>
  <si>
    <t xml:space="preserve">State of Oklahoma</t>
  </si>
  <si>
    <t xml:space="preserve">100% of added value exempt</t>
  </si>
  <si>
    <t xml:space="preserve">PSO Power Forward Efficiency Rebates</t>
  </si>
  <si>
    <t xml:space="preserve">Public Service Co. of Oklahoma</t>
  </si>
  <si>
    <t xml:space="preserve">Weatherization; heat pumps; appliances</t>
  </si>
  <si>
    <t xml:space="preserve">Rebates for qualifying upgrades</t>
  </si>
  <si>
    <t xml:space="preserve">PSO residential customers</t>
  </si>
  <si>
    <t xml:space="preserve">AR</t>
  </si>
  <si>
    <t xml:space="preserve">Arkansas PSC / IOUs</t>
  </si>
  <si>
    <t xml:space="preserve">Excess at avoided cost; pre-2024 grandfathered 20 yrs</t>
  </si>
  <si>
    <t xml:space="preserve">Statewide utility customers</t>
  </si>
  <si>
    <t xml:space="preserve">State of Arkansas</t>
  </si>
  <si>
    <t xml:space="preserve">Added value excluded; equipment sales tax exempt</t>
  </si>
  <si>
    <t xml:space="preserve">LA</t>
  </si>
  <si>
    <t xml:space="preserve">Net Metering / Rider DG</t>
  </si>
  <si>
    <t xml:space="preserve">Louisiana PSC / IOUs &amp; co-ops</t>
  </si>
  <si>
    <t xml:space="preserve">Excess credited at avoided cost (~$0.03/kWh)</t>
  </si>
  <si>
    <t xml:space="preserve">Statewide IOUs &amp; co-ops</t>
  </si>
  <si>
    <t xml:space="preserve">Home Energy Loan Program (HELP)</t>
  </si>
  <si>
    <t xml:space="preserve">LA Dept. of Energy &amp; Natural Resources</t>
  </si>
  <si>
    <t xml:space="preserve">Up to $12,000, 5-year efficiency loan</t>
  </si>
  <si>
    <t xml:space="preserve">Qualified LA homeowners</t>
  </si>
  <si>
    <t xml:space="preserve">Entergy Louisiana Efficiency Rebates</t>
  </si>
  <si>
    <t xml:space="preserve">Entergy Louisiana</t>
  </si>
  <si>
    <t xml:space="preserve">Rebates for thermostats, heat pumps, efficiency</t>
  </si>
  <si>
    <t xml:space="preserve">Entergy LA residential</t>
  </si>
  <si>
    <t xml:space="preserve">MS</t>
  </si>
  <si>
    <t xml:space="preserve">Net Metering (with low-income adder)</t>
  </si>
  <si>
    <t xml:space="preserve">Mississippi PSC / IOUs</t>
  </si>
  <si>
    <t xml:space="preserve">Avoided cost + temporary 2.5c/kWh adder; &lt;= 20 kW</t>
  </si>
  <si>
    <t xml:space="preserve">Statewide IOU customers</t>
  </si>
  <si>
    <t xml:space="preserve">Low-Income Solar Upfront Payment</t>
  </si>
  <si>
    <t xml:space="preserve">Mississippi PSC</t>
  </si>
  <si>
    <t xml:space="preserve">Performance/upfront payment</t>
  </si>
  <si>
    <t xml:space="preserve">Up-front payment to low-income customers</t>
  </si>
  <si>
    <t xml:space="preserve">Mississippi Power Residential Efficiency Rebate</t>
  </si>
  <si>
    <t xml:space="preserve">Mississippi Power</t>
  </si>
  <si>
    <t xml:space="preserve">Appliances; smart thermostat</t>
  </si>
  <si>
    <t xml:space="preserve">$25-$250 cashback</t>
  </si>
  <si>
    <t xml:space="preserve">MS Power residential customers</t>
  </si>
  <si>
    <t xml:space="preserve">NE</t>
  </si>
  <si>
    <t xml:space="preserve">Dollar &amp; Energy Saving Loans</t>
  </si>
  <si>
    <t xml:space="preserve">NE Dept. of Environment &amp; Energy</t>
  </si>
  <si>
    <t xml:space="preserve">Weatherization; heat pumps; solar; efficiency</t>
  </si>
  <si>
    <t xml:space="preserve">Low-interest (1.5%-3%) loans</t>
  </si>
  <si>
    <t xml:space="preserve">Statewide, qualifying improvements</t>
  </si>
  <si>
    <t xml:space="preserve">Net Metering (statutory)</t>
  </si>
  <si>
    <t xml:space="preserve">Nebraska public power districts</t>
  </si>
  <si>
    <t xml:space="preserve">Excess often at avoided cost (below retail)</t>
  </si>
  <si>
    <t xml:space="preserve">OPPD Residential Solar Rebate</t>
  </si>
  <si>
    <t xml:space="preserve">Omaha Public Power District</t>
  </si>
  <si>
    <t xml:space="preserve">Rebate via OPPD Solar Trade Ally</t>
  </si>
  <si>
    <t xml:space="preserve">OPPD customers</t>
  </si>
  <si>
    <t xml:space="preserve">Active (annual budget)</t>
  </si>
  <si>
    <t xml:space="preserve">KS</t>
  </si>
  <si>
    <t xml:space="preserve">KS Corporation Commission / IOUs</t>
  </si>
  <si>
    <t xml:space="preserve">Excess ~2.4c/kWh; &lt;= 50% export cap from 2026</t>
  </si>
  <si>
    <t xml:space="preserve">Evergy &amp; Empire customers</t>
  </si>
  <si>
    <t xml:space="preserve">Evergy Residential Efficiency Rebates</t>
  </si>
  <si>
    <t xml:space="preserve">Evergy</t>
  </si>
  <si>
    <t xml:space="preserve">Rebates for heat pumps, AC, thermostats</t>
  </si>
  <si>
    <t xml:space="preserve">Evergy KS residential customers</t>
  </si>
  <si>
    <t xml:space="preserve">CO</t>
  </si>
  <si>
    <t xml:space="preserve">Heat Pump State Income Tax Credit</t>
  </si>
  <si>
    <t xml:space="preserve">Colorado Energy Office / DOR</t>
  </si>
  <si>
    <t xml:space="preserve">$1,000 per air-source heat pump (2026)</t>
  </si>
  <si>
    <t xml:space="preserve">Statewide, no income limit</t>
  </si>
  <si>
    <t xml:space="preserve">Residential Energy Storage Tax Credit</t>
  </si>
  <si>
    <t xml:space="preserve">Colorado DOR</t>
  </si>
  <si>
    <t xml:space="preserve">10% of cost (up to ~$5,000)</t>
  </si>
  <si>
    <t xml:space="preserve">Active - expires 12/31/2026</t>
  </si>
  <si>
    <t xml:space="preserve">EV State Income Tax Credit</t>
  </si>
  <si>
    <t xml:space="preserve">$750 for new EVs (TY2026, declining)</t>
  </si>
  <si>
    <t xml:space="preserve">Active (declining)</t>
  </si>
  <si>
    <t xml:space="preserve">Vehicle Exchange Colorado (VXC)</t>
  </si>
  <si>
    <t xml:space="preserve">Colorado Energy Office</t>
  </si>
  <si>
    <t xml:space="preserve">$9,000 new / $6,000 used EV</t>
  </si>
  <si>
    <t xml:space="preserve">Income-qualified (&lt;= 80% AMI)</t>
  </si>
  <si>
    <t xml:space="preserve">Heat pumps; HPWH; panel; wiring; insulation; appliances</t>
  </si>
  <si>
    <t xml:space="preserve">Up to $8,000 heat pump; $14,000 cap</t>
  </si>
  <si>
    <t xml:space="preserve">Active (some regions closed/reserved 2026)</t>
  </si>
  <si>
    <t xml:space="preserve">Xcel Solar*Rewards + Battery Rebate</t>
  </si>
  <si>
    <t xml:space="preserve">~$1/W solar (IQ/DI); battery up to $5,000</t>
  </si>
  <si>
    <t xml:space="preserve">Xcel CO; income-qualified focus</t>
  </si>
  <si>
    <t xml:space="preserve">Solar active; battery rebate paused 2026</t>
  </si>
  <si>
    <t xml:space="preserve">NM</t>
  </si>
  <si>
    <t xml:space="preserve">Solar Market Development Tax Credit</t>
  </si>
  <si>
    <t xml:space="preserve">NM EMNRD</t>
  </si>
  <si>
    <t xml:space="preserve">Tax credit (refundable)</t>
  </si>
  <si>
    <t xml:space="preserve">10% of cost, up to $6,000/yr (through 2031)</t>
  </si>
  <si>
    <t xml:space="preserve">Energy Storage GRT Exemption</t>
  </si>
  <si>
    <t xml:space="preserve">NM Taxation &amp; Revenue</t>
  </si>
  <si>
    <t xml:space="preserve">Battery storage; solar</t>
  </si>
  <si>
    <t xml:space="preserve">Battery/solar exempt from gross receipts tax</t>
  </si>
  <si>
    <t xml:space="preserve">Active (through 7/1/2034)</t>
  </si>
  <si>
    <t xml:space="preserve">Clean Car Income Tax Credit</t>
  </si>
  <si>
    <t xml:space="preserve">NM Taxation &amp; Revenue / EMNRD</t>
  </si>
  <si>
    <t xml:space="preserve">Up to $3,000 new EV; used &amp; leased eligible</t>
  </si>
  <si>
    <t xml:space="preserve">Statewide (via dealers)</t>
  </si>
  <si>
    <t xml:space="preserve">EV Charging Unit Tax Credit</t>
  </si>
  <si>
    <t xml:space="preserve">Credit for purchase/install of EV charging equipment</t>
  </si>
  <si>
    <t xml:space="preserve">NM Energy Conservation &amp; Mgmt Div.</t>
  </si>
  <si>
    <t xml:space="preserve">MT</t>
  </si>
  <si>
    <t xml:space="preserve">Residential Alternative Energy System Tax Credit</t>
  </si>
  <si>
    <t xml:space="preserve">Montana DOR</t>
  </si>
  <si>
    <t xml:space="preserve">Solar PV; battery; heat pumps</t>
  </si>
  <si>
    <t xml:space="preserve">Up to $1,000/individual, $2,000/household</t>
  </si>
  <si>
    <t xml:space="preserve">Montana PSC / IOUs</t>
  </si>
  <si>
    <t xml:space="preserve">Credits offset future bills; annual settle-up; &lt;= 50 kW</t>
  </si>
  <si>
    <t xml:space="preserve">Alternative Energy Revolving Loan Program</t>
  </si>
  <si>
    <t xml:space="preserve">Montana DEQ</t>
  </si>
  <si>
    <t xml:space="preserve">Solar; efficiency; conservation</t>
  </si>
  <si>
    <t xml:space="preserve">Low-interest loans</t>
  </si>
  <si>
    <t xml:space="preserve">CA</t>
  </si>
  <si>
    <t xml:space="preserve">Net Billing Tariff (NEM 3.0)</t>
  </si>
  <si>
    <t xml:space="preserve">CPUC / PG&amp;E, SCE, SDG&amp;E</t>
  </si>
  <si>
    <t xml:space="preserve">Export ~$0.08/kWh avg (ACC-based)</t>
  </si>
  <si>
    <t xml:space="preserve">Statewide (IOU territories)</t>
  </si>
  <si>
    <t xml:space="preserve">Active (upheld 2026)</t>
  </si>
  <si>
    <t xml:space="preserve">Self-Generation Incentive Program (SGIP)</t>
  </si>
  <si>
    <t xml:space="preserve">CPUC / IOUs</t>
  </si>
  <si>
    <t xml:space="preserve">Rebate (performance-based)</t>
  </si>
  <si>
    <t xml:space="preserve">Up to $850-$1,000/kWh (equity tiers)</t>
  </si>
  <si>
    <t xml:space="preserve">Statewide; equity tiers</t>
  </si>
  <si>
    <t xml:space="preserve">General/Equity budgets CLOSED 12/31/2025</t>
  </si>
  <si>
    <t xml:space="preserve">Residential Solar &amp; Storage Equity (AB 209)</t>
  </si>
  <si>
    <t xml:space="preserve">CPUC</t>
  </si>
  <si>
    <t xml:space="preserve">~$1,100/kWh storage + ~$3,100/kW solar</t>
  </si>
  <si>
    <t xml:space="preserve">Income-qualified (&lt; 80% AMI)</t>
  </si>
  <si>
    <t xml:space="preserve">Waitlist (budget reserved)</t>
  </si>
  <si>
    <t xml:space="preserve">TECH Clean California</t>
  </si>
  <si>
    <t xml:space="preserve">CEC / CSE</t>
  </si>
  <si>
    <t xml:space="preserve">Quick-start incentives (~$1,000+ HVAC)</t>
  </si>
  <si>
    <t xml:space="preserve">Single-family WAITLIST (reserved Nov 2025)</t>
  </si>
  <si>
    <t xml:space="preserve">HEEHRA (Home Electrification Rebates)</t>
  </si>
  <si>
    <t xml:space="preserve">CEC</t>
  </si>
  <si>
    <t xml:space="preserve">Heat pumps; panel; wiring; appliances</t>
  </si>
  <si>
    <t xml:space="preserve">Income-limited (&lt; 150% AMI)</t>
  </si>
  <si>
    <t xml:space="preserve">Single-family FULLY RESERVED (Feb 2026)</t>
  </si>
  <si>
    <t xml:space="preserve">Clean Cars 4 All</t>
  </si>
  <si>
    <t xml:space="preserve">CARB / air districts</t>
  </si>
  <si>
    <t xml:space="preserve">Grant (scrap-and-replace)</t>
  </si>
  <si>
    <t xml:space="preserve">Up to $12,000</t>
  </si>
  <si>
    <t xml:space="preserve">Driving Clean Assistance Program (DCAP)</t>
  </si>
  <si>
    <t xml:space="preserve">CARB</t>
  </si>
  <si>
    <t xml:space="preserve">Electric vehicles; EV chargers</t>
  </si>
  <si>
    <t xml:space="preserve">Grant + financing</t>
  </si>
  <si>
    <t xml:space="preserve">Up to $12,000 + up to $2,000 charging</t>
  </si>
  <si>
    <t xml:space="preserve">Income-limited (first-time buyers)</t>
  </si>
  <si>
    <t xml:space="preserve">Clean Vehicle Rebate Project (CVRP)</t>
  </si>
  <si>
    <t xml:space="preserve">CARB / CSE</t>
  </si>
  <si>
    <t xml:space="preserve">Formerly up to $7,500</t>
  </si>
  <si>
    <t xml:space="preserve">CLOSED (Nov 2023)</t>
  </si>
  <si>
    <t xml:space="preserve">Turf Replacement / water-efficiency rebates</t>
  </si>
  <si>
    <t xml:space="preserve">SoCal MWD / local water agencies</t>
  </si>
  <si>
    <t xml:space="preserve">~$2-$5/sq ft turf removal</t>
  </si>
  <si>
    <t xml:space="preserve">Statewide (varies by agency)</t>
  </si>
  <si>
    <t xml:space="preserve">California LifeLine Home Broadband Pilot</t>
  </si>
  <si>
    <t xml:space="preserve">Up to ~$30/month</t>
  </si>
  <si>
    <t xml:space="preserve">Income-limited (LifeLine-eligible)</t>
  </si>
  <si>
    <t xml:space="preserve">Active (launched Jan 2026)</t>
  </si>
  <si>
    <t xml:space="preserve">WA</t>
  </si>
  <si>
    <t xml:space="preserve">Solar &amp; silicon energy sales/use tax exemption</t>
  </si>
  <si>
    <t xml:space="preserve">WA Dept. of Revenue</t>
  </si>
  <si>
    <t xml:space="preserve">100% sales-tax exemption on systems &lt;= 100 kW</t>
  </si>
  <si>
    <t xml:space="preserve">WA UTC / utilities</t>
  </si>
  <si>
    <t xml:space="preserve">Retail-rate credit, systems up to 100 kW</t>
  </si>
  <si>
    <t xml:space="preserve">HEAR (Home Electrification Rebates)</t>
  </si>
  <si>
    <t xml:space="preserve">WA Dept. of Commerce</t>
  </si>
  <si>
    <t xml:space="preserve">Heat pumps; HPWH; panel; wiring</t>
  </si>
  <si>
    <t xml:space="preserve">Active (accepting applications)</t>
  </si>
  <si>
    <t xml:space="preserve">Heat pump sales tax exemption</t>
  </si>
  <si>
    <t xml:space="preserve">Sales tax exemption on heat pump equipment/install</t>
  </si>
  <si>
    <t xml:space="preserve">EV Instant Rebate Program</t>
  </si>
  <si>
    <t xml:space="preserve">Rebate (instant)</t>
  </si>
  <si>
    <t xml:space="preserve">Up to $9,000 lease / $5,000 new / $2,500 used</t>
  </si>
  <si>
    <t xml:space="preserve">Income-limited (&lt; 300% FPL)</t>
  </si>
  <si>
    <t xml:space="preserve">CLOSED (Oct 2024)</t>
  </si>
  <si>
    <t xml:space="preserve">OR</t>
  </si>
  <si>
    <t xml:space="preserve">Oregon Solar + Storage Rebate Program</t>
  </si>
  <si>
    <t xml:space="preserve">OR Dept. of Energy</t>
  </si>
  <si>
    <t xml:space="preserve">Up to $5,000 solar + $2,500 storage</t>
  </si>
  <si>
    <t xml:space="preserve">Statewide; higher tiers income-limited</t>
  </si>
  <si>
    <t xml:space="preserve">Active - reopened June 2026 (limited funds)</t>
  </si>
  <si>
    <t xml:space="preserve">Energy Trust of Oregon rebates</t>
  </si>
  <si>
    <t xml:space="preserve">Energy Trust of Oregon</t>
  </si>
  <si>
    <t xml:space="preserve">Heat pumps; HPWH; solar; weatherization</t>
  </si>
  <si>
    <t xml:space="preserve">Heat pump ~$800-$3,000; solar &amp; efficiency</t>
  </si>
  <si>
    <t xml:space="preserve">Residential HPWH Tax Credit</t>
  </si>
  <si>
    <t xml:space="preserve">40% of cost (state income tax)</t>
  </si>
  <si>
    <t xml:space="preserve">Charge Ahead Rebate Program</t>
  </si>
  <si>
    <t xml:space="preserve">OR DEQ</t>
  </si>
  <si>
    <t xml:space="preserve">Up to $5,000 (new/used EV)</t>
  </si>
  <si>
    <t xml:space="preserve">Income-limited (&lt;= 400% FPL)</t>
  </si>
  <si>
    <t xml:space="preserve">Active (funding cycles)</t>
  </si>
  <si>
    <t xml:space="preserve">HEAR / HOMES Rebates</t>
  </si>
  <si>
    <t xml:space="preserve">Heat pumps; weatherization; appliances; panel</t>
  </si>
  <si>
    <t xml:space="preserve">Up to $8,000+ (income-qualified)</t>
  </si>
  <si>
    <t xml:space="preserve">Launching Spring 2026 (pending DOE)</t>
  </si>
  <si>
    <t xml:space="preserve">NV</t>
  </si>
  <si>
    <t xml:space="preserve">PUC Nevada / NV Energy</t>
  </si>
  <si>
    <t xml:space="preserve">Tier 4 = 75% of retail rate; &lt; 25 kW</t>
  </si>
  <si>
    <t xml:space="preserve">NV Energy Battery Storage Rebate</t>
  </si>
  <si>
    <t xml:space="preserve">NV Energy</t>
  </si>
  <si>
    <t xml:space="preserve">Up to ~$3,000 residential</t>
  </si>
  <si>
    <t xml:space="preserve">NV Energy customers</t>
  </si>
  <si>
    <t xml:space="preserve">NV Energy Heat Pump / Efficiency Rebates</t>
  </si>
  <si>
    <t xml:space="preserve">Heat pumps; appliances; thermostats</t>
  </si>
  <si>
    <t xml:space="preserve">Heat pump up to $1,800; thermostat ~$750</t>
  </si>
  <si>
    <t xml:space="preserve">PowerShift Residential Managed Charging</t>
  </si>
  <si>
    <t xml:space="preserve">$100-$500/port; DR payments</t>
  </si>
  <si>
    <t xml:space="preserve">Water Smart Landscapes Rebate</t>
  </si>
  <si>
    <t xml:space="preserve">Southern Nevada Water Authority</t>
  </si>
  <si>
    <t xml:space="preserve">$5/sq ft (first 10,000 sq ft), then $2.50/sq ft</t>
  </si>
  <si>
    <t xml:space="preserve">SNWA service area</t>
  </si>
  <si>
    <t xml:space="preserve">AZ</t>
  </si>
  <si>
    <t xml:space="preserve">Residential Solar &amp; Wind Energy Systems Tax Credit</t>
  </si>
  <si>
    <t xml:space="preserve">AZ Dept. of Revenue</t>
  </si>
  <si>
    <t xml:space="preserve">25% of cost up to $1,000</t>
  </si>
  <si>
    <t xml:space="preserve">100% sales-tax exemption; added-value property exemption</t>
  </si>
  <si>
    <t xml:space="preserve">Net Billing (APS / SRP / TEP)</t>
  </si>
  <si>
    <t xml:space="preserve">AZ Corporation Commission / utilities</t>
  </si>
  <si>
    <t xml:space="preserve">Export credits ~$0.037-$0.062/kWh</t>
  </si>
  <si>
    <t xml:space="preserve">Active (net metering retired)</t>
  </si>
  <si>
    <t xml:space="preserve">Turf replacement &amp; water rebates</t>
  </si>
  <si>
    <t xml:space="preserve">Local water providers (Tucson, AMWUA cities)</t>
  </si>
  <si>
    <t xml:space="preserve">Varies (turf, smart irrigation, greywater)</t>
  </si>
  <si>
    <t xml:space="preserve">Service-area specific</t>
  </si>
  <si>
    <t xml:space="preserve">UT</t>
  </si>
  <si>
    <t xml:space="preserve">Residential Energy System Tax Credit (RESTC)</t>
  </si>
  <si>
    <t xml:space="preserve">Utah Office of Energy Development</t>
  </si>
  <si>
    <t xml:space="preserve">Heat pumps; geothermal; wind</t>
  </si>
  <si>
    <t xml:space="preserve">Up to $2,000 (solar PV portion expired 2024)</t>
  </si>
  <si>
    <t xml:space="preserve">Active (solar PV closed)</t>
  </si>
  <si>
    <t xml:space="preserve">Net Billing (Rocky Mountain Power)</t>
  </si>
  <si>
    <t xml:space="preserve">Utah PSC / RMP</t>
  </si>
  <si>
    <t xml:space="preserve">Export credit below retail (transition rates)</t>
  </si>
  <si>
    <t xml:space="preserve">RMP service area</t>
  </si>
  <si>
    <t xml:space="preserve">Utah Water Savers Landscape Incentive</t>
  </si>
  <si>
    <t xml:space="preserve">Utah Div. of Water Resources / districts</t>
  </si>
  <si>
    <t xml:space="preserve">Up to $3/sq ft lawn replacement</t>
  </si>
  <si>
    <t xml:space="preserve">Statewide (60+ communities)</t>
  </si>
  <si>
    <t xml:space="preserve">ID</t>
  </si>
  <si>
    <t xml:space="preserve">Residential Alternative Energy Tax Deduction</t>
  </si>
  <si>
    <t xml:space="preserve">Idaho State Tax Commission</t>
  </si>
  <si>
    <t xml:space="preserve">Solar PV; geothermal; wind</t>
  </si>
  <si>
    <t xml:space="preserve">Tax deduction</t>
  </si>
  <si>
    <t xml:space="preserve">40% first year + 20%/yr for 3 yrs; $20,000 cap</t>
  </si>
  <si>
    <t xml:space="preserve">Idaho PUC / utilities</t>
  </si>
  <si>
    <t xml:space="preserve">Utility-set export credit (no mandate)</t>
  </si>
  <si>
    <t xml:space="preserve">State Energy Loan Program</t>
  </si>
  <si>
    <t xml:space="preserve">Idaho Office of Energy &amp; Mineral Resources</t>
  </si>
  <si>
    <t xml:space="preserve">Weatherization; HVAC; solar; appliances</t>
  </si>
  <si>
    <t xml:space="preserve">$1,000-$50,000; 1%-4%</t>
  </si>
  <si>
    <t xml:space="preserve">WY</t>
  </si>
  <si>
    <t xml:space="preserve">Wyoming PSC / utilities</t>
  </si>
  <si>
    <t xml:space="preserve">Retail-rate credit; &lt;= 25 kW</t>
  </si>
  <si>
    <t xml:space="preserve">Utility Energy-Efficiency Rebates</t>
  </si>
  <si>
    <t xml:space="preserve">Local utilities</t>
  </si>
  <si>
    <t xml:space="preserve">Appliances; heat pumps; weatherization</t>
  </si>
  <si>
    <t xml:space="preserve">Weatherization Assistance Program</t>
  </si>
  <si>
    <t xml:space="preserve">WY Dept. of Family Services</t>
  </si>
  <si>
    <t xml:space="preserve">Free weatherization upgrades</t>
  </si>
  <si>
    <t xml:space="preserve">AK</t>
  </si>
  <si>
    <t xml:space="preserve">Alaska Home Energy Rebate Program</t>
  </si>
  <si>
    <t xml:space="preserve">Alaska Housing Finance Corp</t>
  </si>
  <si>
    <t xml:space="preserve">Up to $10,000 (tied to rating improvement)</t>
  </si>
  <si>
    <t xml:space="preserve">HEAR / HOMES</t>
  </si>
  <si>
    <t xml:space="preserve">HI</t>
  </si>
  <si>
    <t xml:space="preserve">Smart Renewable Energy Export / Net Billing</t>
  </si>
  <si>
    <t xml:space="preserve">Hawaii PUC / Hawaiian Electric</t>
  </si>
  <si>
    <t xml:space="preserve">Partial export credit (net metering closed 2015)</t>
  </si>
  <si>
    <t xml:space="preserve">HECO service area</t>
  </si>
  <si>
    <t xml:space="preserve">Bring Your Own Device Plus (BYOD+)</t>
  </si>
  <si>
    <t xml:space="preserve">Hawaiian Electric</t>
  </si>
  <si>
    <t xml:space="preserve">Battery storage / DR</t>
  </si>
  <si>
    <t xml:space="preserve">~$100/kW upfront + ~$5/kW-month</t>
  </si>
  <si>
    <t xml:space="preserve">HECO customers</t>
  </si>
  <si>
    <t xml:space="preserve">Renewable Energy Technologies Income Tax Credit</t>
  </si>
  <si>
    <t xml:space="preserve">Hawaii Dept. of Taxation</t>
  </si>
  <si>
    <t xml:space="preserve">Solar PV; solar thermal</t>
  </si>
  <si>
    <t xml:space="preserve">35% of cost, capped $5,000 (PV) / $2,250 (solar water)</t>
  </si>
  <si>
    <t xml:space="preserve">Green Energy Money Saver (GEMS)</t>
  </si>
  <si>
    <t xml:space="preserve">Hawaii Green Infrastructure Authority</t>
  </si>
  <si>
    <t xml:space="preserve">Solar; storage; efficiency</t>
  </si>
  <si>
    <t xml:space="preserve">Loan (on-bill)</t>
  </si>
  <si>
    <t xml:space="preserve">Low-cost on-bill financing</t>
  </si>
  <si>
    <t xml:space="preserve">Underserved/renters/low-income</t>
  </si>
  <si>
    <t xml:space="preserve">Summary statistics</t>
  </si>
  <si>
    <t xml:space="preserve">Total programs catalogued</t>
  </si>
  <si>
    <t xml:space="preserve">Technology category</t>
  </si>
  <si>
    <t xml:space="preserve">Count</t>
  </si>
  <si>
    <t xml:space="preserve">Status / model feature</t>
  </si>
  <si>
    <t xml:space="preserve">Terminated/closed programs</t>
  </si>
  <si>
    <t xml:space="preserve">Pending / launching</t>
  </si>
  <si>
    <t xml:space="preserve">Waitlist / reserved / depleted</t>
  </si>
  <si>
    <t xml:space="preserve">NPV durable good = Y</t>
  </si>
  <si>
    <t xml:space="preserve">Time-varying path = Y</t>
  </si>
  <si>
    <t xml:space="preserve">Visibility/peer = Y</t>
  </si>
  <si>
    <t xml:space="preserve">Forward-looking timing = Y</t>
  </si>
  <si>
    <t xml:space="preserve">Performance</t>
  </si>
  <si>
    <t xml:space="preserve">All four features present (Y)</t>
  </si>
  <si>
    <t xml:space="preserve">Panel</t>
  </si>
  <si>
    <t xml:space="preserve">Subsidy</t>
  </si>
  <si>
    <t xml:space="preserve">Deduction</t>
  </si>
  <si>
    <t xml:space="preserve">Smart thermostat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</si>
</sst>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B6B2E"/>
      <name val="Arial"/>
      <family val="0"/>
      <charset val="1"/>
    </font>
    <font>
      <u val="single"/>
      <sz val="8"/>
      <color rgb="FF1155CC"/>
      <name val="Arial"/>
      <family val="0"/>
      <charset val="1"/>
    </font>
    <font>
      <sz val="9"/>
      <color rgb="FF9C65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B6B2E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B2E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1155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rs.gov/newsroom/faqs-for-modification-of-sections-25c-25d-25e-30c-30d-45l-45w-and-179d-under-public-law-119-21-139-stat-72-july-4-2025-commonly-known-as-the-one-big-beautiful-bill-obbb" TargetMode="External"/><Relationship Id="rId2" Type="http://schemas.openxmlformats.org/officeDocument/2006/relationships/hyperlink" Target="https://www.irs.gov/newsroom/faqs-for-modification-of-sections-25c-25d-25e-30c-30d-45l-45w-and-179d-under-public-law-119-21-139-stat-72-july-4-2025-commonly-known-as-the-one-big-beautiful-bill-obbb" TargetMode="External"/><Relationship Id="rId3" Type="http://schemas.openxmlformats.org/officeDocument/2006/relationships/hyperlink" Target="https://www.irs.gov/newsroom/faqs-for-modification-of-sections-25c-25d-25e-30c-30d-45l-45w-and-179d-under-public-law-119-21-139-stat-72-july-4-2025-commonly-known-as-the-one-big-beautiful-bill-obbb" TargetMode="External"/><Relationship Id="rId4" Type="http://schemas.openxmlformats.org/officeDocument/2006/relationships/hyperlink" Target="https://www.irs.gov/newsroom/faqs-for-modification-of-sections-25c-25d-25e-30c-30d-45l-45w-and-179d-under-public-law-119-21-139-stat-72-july-4-2025-commonly-known-as-the-one-big-beautiful-bill-obbb" TargetMode="External"/><Relationship Id="rId5" Type="http://schemas.openxmlformats.org/officeDocument/2006/relationships/hyperlink" Target="https://www.irs.gov/newsroom/faqs-for-modification-of-sections-25c-25d-25e-30c-30d-45l-45w-and-179d-under-public-law-119-21-139-stat-72-july-4-2025-commonly-known-as-the-one-big-beautiful-bill-obbb" TargetMode="External"/><Relationship Id="rId6" Type="http://schemas.openxmlformats.org/officeDocument/2006/relationships/hyperlink" Target="https://www.energy.gov/scep/home-energy-rebates-programs" TargetMode="External"/><Relationship Id="rId7" Type="http://schemas.openxmlformats.org/officeDocument/2006/relationships/hyperlink" Target="https://www.energy.gov/scep/home-energy-rebates-programs" TargetMode="External"/><Relationship Id="rId8" Type="http://schemas.openxmlformats.org/officeDocument/2006/relationships/hyperlink" Target="https://www.energy.gov/scep/wap/weatherization-assistance-program" TargetMode="External"/><Relationship Id="rId9" Type="http://schemas.openxmlformats.org/officeDocument/2006/relationships/hyperlink" Target="https://acf.gov/ocs/programs/liheap" TargetMode="External"/><Relationship Id="rId10" Type="http://schemas.openxmlformats.org/officeDocument/2006/relationships/hyperlink" Target="https://www.fcc.gov/lifeline-consumers" TargetMode="External"/><Relationship Id="rId11" Type="http://schemas.openxmlformats.org/officeDocument/2006/relationships/hyperlink" Target="https://www.fcc.gov/acp" TargetMode="External"/><Relationship Id="rId12" Type="http://schemas.openxmlformats.org/officeDocument/2006/relationships/hyperlink" Target="https://www.internetforall.gov/program/broadband-equity-access-and-deployment-bead-program" TargetMode="External"/><Relationship Id="rId13" Type="http://schemas.openxmlformats.org/officeDocument/2006/relationships/hyperlink" Target="https://www.rd.usda.gov/programs-services/energy-programs/rural-energy-america-program-renewable-energy-systems-energy-efficiency-improvement-guaranteed-loans" TargetMode="External"/><Relationship Id="rId14" Type="http://schemas.openxmlformats.org/officeDocument/2006/relationships/hyperlink" Target="https://www.irs.gov/credits-deductions/clean-electricity-investment-credit" TargetMode="External"/><Relationship Id="rId15" Type="http://schemas.openxmlformats.org/officeDocument/2006/relationships/hyperlink" Target="https://www.epa.gov/watersense" TargetMode="External"/><Relationship Id="rId16" Type="http://schemas.openxmlformats.org/officeDocument/2006/relationships/hyperlink" Target="https://www.energystar.gov/" TargetMode="External"/><Relationship Id="rId17" Type="http://schemas.openxmlformats.org/officeDocument/2006/relationships/hyperlink" Target="https://www.dsireusa.org/" TargetMode="External"/><Relationship Id="rId18" Type="http://schemas.openxmlformats.org/officeDocument/2006/relationships/hyperlink" Target="https://www.efficiencymaine.com/" TargetMode="External"/><Relationship Id="rId19" Type="http://schemas.openxmlformats.org/officeDocument/2006/relationships/hyperlink" Target="https://www.efficiencymaine.com/at-home/" TargetMode="External"/><Relationship Id="rId20" Type="http://schemas.openxmlformats.org/officeDocument/2006/relationships/hyperlink" Target="https://www.efficiencymaine.com/at-home/" TargetMode="External"/><Relationship Id="rId21" Type="http://schemas.openxmlformats.org/officeDocument/2006/relationships/hyperlink" Target="https://www.efficiencymaine.com/" TargetMode="External"/><Relationship Id="rId22" Type="http://schemas.openxmlformats.org/officeDocument/2006/relationships/hyperlink" Target="https://www.energy.nh.gov/" TargetMode="External"/><Relationship Id="rId23" Type="http://schemas.openxmlformats.org/officeDocument/2006/relationships/hyperlink" Target="https://www.dsireusa.org/" TargetMode="External"/><Relationship Id="rId24" Type="http://schemas.openxmlformats.org/officeDocument/2006/relationships/hyperlink" Target="https://www.eversource.com/" TargetMode="External"/><Relationship Id="rId25" Type="http://schemas.openxmlformats.org/officeDocument/2006/relationships/hyperlink" Target="https://nhsaves.com/" TargetMode="External"/><Relationship Id="rId26" Type="http://schemas.openxmlformats.org/officeDocument/2006/relationships/hyperlink" Target="https://www.dsireusa.org/" TargetMode="External"/><Relationship Id="rId27" Type="http://schemas.openxmlformats.org/officeDocument/2006/relationships/hyperlink" Target="https://www.efficiencyvermont.com/rebates" TargetMode="External"/><Relationship Id="rId28" Type="http://schemas.openxmlformats.org/officeDocument/2006/relationships/hyperlink" Target="https://www.efficiencyvermont.com/rebates" TargetMode="External"/><Relationship Id="rId29" Type="http://schemas.openxmlformats.org/officeDocument/2006/relationships/hyperlink" Target="https://www.burlingtonelectric.com/evrebates/" TargetMode="External"/><Relationship Id="rId30" Type="http://schemas.openxmlformats.org/officeDocument/2006/relationships/hyperlink" Target="https://greenmountainpower.com/rebates-programs/electric-vehicles/" TargetMode="External"/><Relationship Id="rId31" Type="http://schemas.openxmlformats.org/officeDocument/2006/relationships/hyperlink" Target="https://www.mass.gov/solar-massachusetts-renewable-target-smart" TargetMode="External"/><Relationship Id="rId32" Type="http://schemas.openxmlformats.org/officeDocument/2006/relationships/hyperlink" Target="https://www.masssave.com/" TargetMode="External"/><Relationship Id="rId33" Type="http://schemas.openxmlformats.org/officeDocument/2006/relationships/hyperlink" Target="https://www.masssave.com/" TargetMode="External"/><Relationship Id="rId34" Type="http://schemas.openxmlformats.org/officeDocument/2006/relationships/hyperlink" Target="https://www.masssave.com/" TargetMode="External"/><Relationship Id="rId35" Type="http://schemas.openxmlformats.org/officeDocument/2006/relationships/hyperlink" Target="https://www.masssave.com/residential/rebates-offers-services/connectedsolutions" TargetMode="External"/><Relationship Id="rId36" Type="http://schemas.openxmlformats.org/officeDocument/2006/relationships/hyperlink" Target="https://mor-ev.org/" TargetMode="External"/><Relationship Id="rId37" Type="http://schemas.openxmlformats.org/officeDocument/2006/relationships/hyperlink" Target="https://energy.ri.gov/incentives" TargetMode="External"/><Relationship Id="rId38" Type="http://schemas.openxmlformats.org/officeDocument/2006/relationships/hyperlink" Target="https://www.dsireusa.org/" TargetMode="External"/><Relationship Id="rId39" Type="http://schemas.openxmlformats.org/officeDocument/2006/relationships/hyperlink" Target="https://energy.ri.gov/incentives" TargetMode="External"/><Relationship Id="rId40" Type="http://schemas.openxmlformats.org/officeDocument/2006/relationships/hyperlink" Target="https://cleanheatri.com/resources/incentives/" TargetMode="External"/><Relationship Id="rId41" Type="http://schemas.openxmlformats.org/officeDocument/2006/relationships/hyperlink" Target="https://drive.ri.gov/drive-ev-project/drive-ev" TargetMode="External"/><Relationship Id="rId42" Type="http://schemas.openxmlformats.org/officeDocument/2006/relationships/hyperlink" Target="https://www.eversource.com/content/residential/save-money-energy/clean-energy-options/solar-energy" TargetMode="External"/><Relationship Id="rId43" Type="http://schemas.openxmlformats.org/officeDocument/2006/relationships/hyperlink" Target="https://www.energizect.com/" TargetMode="External"/><Relationship Id="rId44" Type="http://schemas.openxmlformats.org/officeDocument/2006/relationships/hyperlink" Target="https://www.energizect.com/" TargetMode="External"/><Relationship Id="rId45" Type="http://schemas.openxmlformats.org/officeDocument/2006/relationships/hyperlink" Target="https://portal.ct.gov/DEEP/Air/Mobile-Sources/EVConnecticut/EVConnecticut---Incentives" TargetMode="External"/><Relationship Id="rId46" Type="http://schemas.openxmlformats.org/officeDocument/2006/relationships/hyperlink" Target="https://www.ctgreenbank.com/" TargetMode="External"/><Relationship Id="rId47" Type="http://schemas.openxmlformats.org/officeDocument/2006/relationships/hyperlink" Target="https://www.tax.ny.gov/" TargetMode="External"/><Relationship Id="rId48" Type="http://schemas.openxmlformats.org/officeDocument/2006/relationships/hyperlink" Target="https://www.nyserda.ny.gov/ny-sun" TargetMode="External"/><Relationship Id="rId49" Type="http://schemas.openxmlformats.org/officeDocument/2006/relationships/hyperlink" Target="https://www.nyserda.ny.gov/" TargetMode="External"/><Relationship Id="rId50" Type="http://schemas.openxmlformats.org/officeDocument/2006/relationships/hyperlink" Target="https://www.nyserda.ny.gov/clean-heat" TargetMode="External"/><Relationship Id="rId51" Type="http://schemas.openxmlformats.org/officeDocument/2006/relationships/hyperlink" Target="https://www.nyserda.ny.gov/empower" TargetMode="External"/><Relationship Id="rId52" Type="http://schemas.openxmlformats.org/officeDocument/2006/relationships/hyperlink" Target="https://www.nyserda.ny.gov/drive-clean-rebate" TargetMode="External"/><Relationship Id="rId53" Type="http://schemas.openxmlformats.org/officeDocument/2006/relationships/hyperlink" Target="https://www.njcleanenergy.com/" TargetMode="External"/><Relationship Id="rId54" Type="http://schemas.openxmlformats.org/officeDocument/2006/relationships/hyperlink" Target="https://www.dsireusa.org/" TargetMode="External"/><Relationship Id="rId55" Type="http://schemas.openxmlformats.org/officeDocument/2006/relationships/hyperlink" Target="https://www.dsireusa.org/" TargetMode="External"/><Relationship Id="rId56" Type="http://schemas.openxmlformats.org/officeDocument/2006/relationships/hyperlink" Target="https://chargeup.njcleanenergy.com/" TargetMode="External"/><Relationship Id="rId57" Type="http://schemas.openxmlformats.org/officeDocument/2006/relationships/hyperlink" Target="https://chargeup.njcleanenergy.com/home-ev-charger-incentive" TargetMode="External"/><Relationship Id="rId58" Type="http://schemas.openxmlformats.org/officeDocument/2006/relationships/hyperlink" Target="https://www.njcleanenergy.com/" TargetMode="External"/><Relationship Id="rId59" Type="http://schemas.openxmlformats.org/officeDocument/2006/relationships/hyperlink" Target="https://www.dsireusa.org/" TargetMode="External"/><Relationship Id="rId60" Type="http://schemas.openxmlformats.org/officeDocument/2006/relationships/hyperlink" Target="https://www.puc.pa.gov/" TargetMode="External"/><Relationship Id="rId61" Type="http://schemas.openxmlformats.org/officeDocument/2006/relationships/hyperlink" Target="https://www.dep.pa.gov/" TargetMode="External"/><Relationship Id="rId62" Type="http://schemas.openxmlformats.org/officeDocument/2006/relationships/hyperlink" Target="https://dnrec.delaware.gov/climate-coastal-energy/energy-office/" TargetMode="External"/><Relationship Id="rId63" Type="http://schemas.openxmlformats.org/officeDocument/2006/relationships/hyperlink" Target="https://www.dsireusa.org/" TargetMode="External"/><Relationship Id="rId64" Type="http://schemas.openxmlformats.org/officeDocument/2006/relationships/hyperlink" Target="https://dnrec.delaware.gov/climate-coastal-energy/energy-office/ira/home-energy-rebates/" TargetMode="External"/><Relationship Id="rId65" Type="http://schemas.openxmlformats.org/officeDocument/2006/relationships/hyperlink" Target="https://energy.maryland.gov/" TargetMode="External"/><Relationship Id="rId66" Type="http://schemas.openxmlformats.org/officeDocument/2006/relationships/hyperlink" Target="https://www.energysage.com/local-data/solar-rebates-incentives/md/" TargetMode="External"/><Relationship Id="rId67" Type="http://schemas.openxmlformats.org/officeDocument/2006/relationships/hyperlink" Target="https://energy.maryland.gov/Pages/Energy-Storage-Grant-Program.aspx" TargetMode="External"/><Relationship Id="rId68" Type="http://schemas.openxmlformats.org/officeDocument/2006/relationships/hyperlink" Target="https://marylandmatters.org/2026/03/23/contractors-empower-maryland-cuts/" TargetMode="External"/><Relationship Id="rId69" Type="http://schemas.openxmlformats.org/officeDocument/2006/relationships/hyperlink" Target="https://mva.maryland.gov/" TargetMode="External"/><Relationship Id="rId70" Type="http://schemas.openxmlformats.org/officeDocument/2006/relationships/hyperlink" Target="https://energy.maryland.gov/transportation/pages/incentives_evserebate.aspx" TargetMode="External"/><Relationship Id="rId71" Type="http://schemas.openxmlformats.org/officeDocument/2006/relationships/hyperlink" Target="https://www.virtuesolar.com/virginia-solar-incentives/" TargetMode="External"/><Relationship Id="rId72" Type="http://schemas.openxmlformats.org/officeDocument/2006/relationships/hyperlink" Target="https://www.energysage.com/local-data/solar-rebates-incentives/va/" TargetMode="External"/><Relationship Id="rId73" Type="http://schemas.openxmlformats.org/officeDocument/2006/relationships/hyperlink" Target="https://www.dominionenergy.com/virginia/save-energy/ev-charger-rewards" TargetMode="External"/><Relationship Id="rId74" Type="http://schemas.openxmlformats.org/officeDocument/2006/relationships/hyperlink" Target="https://www.energy.virginia.gov/energy-efficiency/HomeEnergyRebatesFrequentlyAskedQuestions.shtml" TargetMode="External"/><Relationship Id="rId75" Type="http://schemas.openxmlformats.org/officeDocument/2006/relationships/hyperlink" Target="https://www.energysage.com/local-data/solar-rebates-incentives/wv/" TargetMode="External"/><Relationship Id="rId76" Type="http://schemas.openxmlformats.org/officeDocument/2006/relationships/hyperlink" Target="https://energyrebatecalculator.com/rebates/west-virginia" TargetMode="External"/><Relationship Id="rId77" Type="http://schemas.openxmlformats.org/officeDocument/2006/relationships/hyperlink" Target="https://ncsolarnow.com/blog/duke-energy-net-metering-bridge-rate-deadline/" TargetMode="External"/><Relationship Id="rId78" Type="http://schemas.openxmlformats.org/officeDocument/2006/relationships/hyperlink" Target="https://www.energysage.com/local-data/solar-rebates-incentives/nc/" TargetMode="External"/><Relationship Id="rId79" Type="http://schemas.openxmlformats.org/officeDocument/2006/relationships/hyperlink" Target="https://www.energysage.com/local-data/solar-rebates-incentives/nc/" TargetMode="External"/><Relationship Id="rId80" Type="http://schemas.openxmlformats.org/officeDocument/2006/relationships/hyperlink" Target="https://www.energysavernc.org/about-the-program/home-electrification-and-appliance-rebates-hear/" TargetMode="External"/><Relationship Id="rId81" Type="http://schemas.openxmlformats.org/officeDocument/2006/relationships/hyperlink" Target="https://www.thisoldhouse.com/solar-alternative-energy/solar-incentives-south-carolina" TargetMode="External"/><Relationship Id="rId82" Type="http://schemas.openxmlformats.org/officeDocument/2006/relationships/hyperlink" Target="https://www.energysage.com/local-data/solar-rebates-incentives/sc/" TargetMode="External"/><Relationship Id="rId83" Type="http://schemas.openxmlformats.org/officeDocument/2006/relationships/hyperlink" Target="https://energy.sc.gov/rebates" TargetMode="External"/><Relationship Id="rId84" Type="http://schemas.openxmlformats.org/officeDocument/2006/relationships/hyperlink" Target="https://www.thisoldhouse.com/solar-alternative-energy/solar-incentives-georgia" TargetMode="External"/><Relationship Id="rId85" Type="http://schemas.openxmlformats.org/officeDocument/2006/relationships/hyperlink" Target="https://gefa.georgia.gov/energy-programs/home-energy-rebate-programs/faqs-home-energy-rebate-programs" TargetMode="External"/><Relationship Id="rId86" Type="http://schemas.openxmlformats.org/officeDocument/2006/relationships/hyperlink" Target="https://palmetto.com/policy/florida-solar-incentives" TargetMode="External"/><Relationship Id="rId87" Type="http://schemas.openxmlformats.org/officeDocument/2006/relationships/hyperlink" Target="https://www.solarreviews.com/solar-incentives/florida" TargetMode="External"/><Relationship Id="rId88" Type="http://schemas.openxmlformats.org/officeDocument/2006/relationships/hyperlink" Target="https://www.solarreviews.com/solar-incentives/florida" TargetMode="External"/><Relationship Id="rId89" Type="http://schemas.openxmlformats.org/officeDocument/2006/relationships/hyperlink" Target="https://floridaenergysaverprogram.fdacs.gov/en-US/" TargetMode="External"/><Relationship Id="rId90" Type="http://schemas.openxmlformats.org/officeDocument/2006/relationships/hyperlink" Target="https://www.energysage.com/local-data/solar-rebates-incentives/ky/" TargetMode="External"/><Relationship Id="rId91" Type="http://schemas.openxmlformats.org/officeDocument/2006/relationships/hyperlink" Target="https://www.altestore.com/solar-incentives-and-rebates/kentucky/" TargetMode="External"/><Relationship Id="rId92" Type="http://schemas.openxmlformats.org/officeDocument/2006/relationships/hyperlink" Target="https://energyrebates.ky.gov/" TargetMode="External"/><Relationship Id="rId93" Type="http://schemas.openxmlformats.org/officeDocument/2006/relationships/hyperlink" Target="https://homeenergybasics.com/heat-pumps/states/tn" TargetMode="External"/><Relationship Id="rId94" Type="http://schemas.openxmlformats.org/officeDocument/2006/relationships/hyperlink" Target="https://www.tn.gov/environment/program-areas/energy/state-energy-office--seo-/programs-projects/programs-and-projects/inflation-reduction-act/home-energy-rebate-programs.html" TargetMode="External"/><Relationship Id="rId95" Type="http://schemas.openxmlformats.org/officeDocument/2006/relationships/hyperlink" Target="https://www.ecowatch.com/solar/incentives/al" TargetMode="External"/><Relationship Id="rId96" Type="http://schemas.openxmlformats.org/officeDocument/2006/relationships/hyperlink" Target="https://homeenergybasics.com/heat-pumps/states/al" TargetMode="External"/><Relationship Id="rId97" Type="http://schemas.openxmlformats.org/officeDocument/2006/relationships/hyperlink" Target="https://adeca.alabama.gov/ira-rebates/" TargetMode="External"/><Relationship Id="rId98" Type="http://schemas.openxmlformats.org/officeDocument/2006/relationships/hyperlink" Target="https://programs.dsireusa.org/system/program/oh" TargetMode="External"/><Relationship Id="rId99" Type="http://schemas.openxmlformats.org/officeDocument/2006/relationships/hyperlink" Target="https://programs.dsireusa.org/system/program/detail/3676" TargetMode="External"/><Relationship Id="rId100" Type="http://schemas.openxmlformats.org/officeDocument/2006/relationships/hyperlink" Target="https://programs.dsireusa.org/system/program/oh" TargetMode="External"/><Relationship Id="rId101" Type="http://schemas.openxmlformats.org/officeDocument/2006/relationships/hyperlink" Target="https://rebateatlas.org/states/ohio/" TargetMode="External"/><Relationship Id="rId102" Type="http://schemas.openxmlformats.org/officeDocument/2006/relationships/hyperlink" Target="https://www.michigan.gov/mpsc/consumer/utility-program-portal/dte-energy-customer-programs" TargetMode="External"/><Relationship Id="rId103" Type="http://schemas.openxmlformats.org/officeDocument/2006/relationships/hyperlink" Target="https://www.ohmsnap.com/utilities/michigan/consumers-energy/ev-charger" TargetMode="External"/><Relationship Id="rId104" Type="http://schemas.openxmlformats.org/officeDocument/2006/relationships/hyperlink" Target="https://www.ecotelligenthomes.com/rebates-and-tax-credits/dte-rebates/" TargetMode="External"/><Relationship Id="rId105" Type="http://schemas.openxmlformats.org/officeDocument/2006/relationships/hyperlink" Target="https://www.dteenergy.com/us/en/residential/save-money-energy/rebates-and-offers/wi-fi-enabled-thermostats.html" TargetMode="External"/><Relationship Id="rId106" Type="http://schemas.openxmlformats.org/officeDocument/2006/relationships/hyperlink" Target="https://www.citact.org/net-metering-indiana" TargetMode="External"/><Relationship Id="rId107" Type="http://schemas.openxmlformats.org/officeDocument/2006/relationships/hyperlink" Target="https://www.in.gov/iurc/" TargetMode="External"/><Relationship Id="rId108" Type="http://schemas.openxmlformats.org/officeDocument/2006/relationships/hyperlink" Target="https://homeenergybasics.com/heat-pumps/states/in" TargetMode="External"/><Relationship Id="rId109" Type="http://schemas.openxmlformats.org/officeDocument/2006/relationships/hyperlink" Target="https://homeenergybasics.com/heat-pumps/states/in" TargetMode="External"/><Relationship Id="rId110" Type="http://schemas.openxmlformats.org/officeDocument/2006/relationships/hyperlink" Target="https://straightupsolar.com/solar-policy-and-advocacy/illinois-srec-increase-2026/" TargetMode="External"/><Relationship Id="rId111" Type="http://schemas.openxmlformats.org/officeDocument/2006/relationships/hyperlink" Target="https://www.energysage.com/local-data/solar-rebates-incentives/il/" TargetMode="External"/><Relationship Id="rId112" Type="http://schemas.openxmlformats.org/officeDocument/2006/relationships/hyperlink" Target="https://comedhome.com/illinois-solar-battery-rebates-comed-storage-rules/" TargetMode="External"/><Relationship Id="rId113" Type="http://schemas.openxmlformats.org/officeDocument/2006/relationships/hyperlink" Target="https://straightupsolar.com/residential-solar/illinois-battery-storage-rebate/" TargetMode="External"/><Relationship Id="rId114" Type="http://schemas.openxmlformats.org/officeDocument/2006/relationships/hyperlink" Target="https://www.920wmok.com/2025/12/06/illinois-state-incentives-for-ev-purchase/" TargetMode="External"/><Relationship Id="rId115" Type="http://schemas.openxmlformats.org/officeDocument/2006/relationships/hyperlink" Target="https://insideclimatenews.org/news/06032026/illinois-comed-ev-rebate-funding/" TargetMode="External"/><Relationship Id="rId116" Type="http://schemas.openxmlformats.org/officeDocument/2006/relationships/hyperlink" Target="https://www.focusonenergy.com/residential" TargetMode="External"/><Relationship Id="rId117" Type="http://schemas.openxmlformats.org/officeDocument/2006/relationships/hyperlink" Target="https://homeenergybasics.com/heat-pumps/states/wi" TargetMode="External"/><Relationship Id="rId118" Type="http://schemas.openxmlformats.org/officeDocument/2006/relationships/hyperlink" Target="https://focusonenergy.com/residential" TargetMode="External"/><Relationship Id="rId119" Type="http://schemas.openxmlformats.org/officeDocument/2006/relationships/hyperlink" Target="https://focusonenergy.com/home-energy-rebates" TargetMode="External"/><Relationship Id="rId120" Type="http://schemas.openxmlformats.org/officeDocument/2006/relationships/hyperlink" Target="https://isolarmn.com/blog/xcel-solar-rewards-minnesota/" TargetMode="External"/><Relationship Id="rId121" Type="http://schemas.openxmlformats.org/officeDocument/2006/relationships/hyperlink" Target="https://homeenergybasics.com/heat-pumps/states/mn" TargetMode="External"/><Relationship Id="rId122" Type="http://schemas.openxmlformats.org/officeDocument/2006/relationships/hyperlink" Target="https://homeenergybasics.com/heat-pumps/states/mn" TargetMode="External"/><Relationship Id="rId123" Type="http://schemas.openxmlformats.org/officeDocument/2006/relationships/hyperlink" Target="https://homeenergybasics.com/heat-pumps/states/mn" TargetMode="External"/><Relationship Id="rId124" Type="http://schemas.openxmlformats.org/officeDocument/2006/relationships/hyperlink" Target="https://mn.my.xcelenergy.com/s/residential/heating-cooling/ac-rewards" TargetMode="External"/><Relationship Id="rId125" Type="http://schemas.openxmlformats.org/officeDocument/2006/relationships/hyperlink" Target="https://www.energysage.com/local-data/solar-rebates-incentives/mn/" TargetMode="External"/><Relationship Id="rId126" Type="http://schemas.openxmlformats.org/officeDocument/2006/relationships/hyperlink" Target="https://mn.gov/deed/programs-services/broadband/grant-program" TargetMode="External"/><Relationship Id="rId127" Type="http://schemas.openxmlformats.org/officeDocument/2006/relationships/hyperlink" Target="https://www.solarreviews.com/solar-incentives/iowa" TargetMode="External"/><Relationship Id="rId128" Type="http://schemas.openxmlformats.org/officeDocument/2006/relationships/hyperlink" Target="https://www.energysage.com/local-data/solar-rebates-incentives/ia/" TargetMode="External"/><Relationship Id="rId129" Type="http://schemas.openxmlformats.org/officeDocument/2006/relationships/hyperlink" Target="https://www.cleanenergyauthority.com/solar-rebates-and-incentives/iowa" TargetMode="External"/><Relationship Id="rId130" Type="http://schemas.openxmlformats.org/officeDocument/2006/relationships/hyperlink" Target="https://www.ohmsnap.com/utilities/missouri/ameren-missouri/solar" TargetMode="External"/><Relationship Id="rId131" Type="http://schemas.openxmlformats.org/officeDocument/2006/relationships/hyperlink" Target="https://www.energysage.com/local-data/solar-rebates-incentives/mo/" TargetMode="External"/><Relationship Id="rId132" Type="http://schemas.openxmlformats.org/officeDocument/2006/relationships/hyperlink" Target="https://www.ecowatch.com/solar/incentives/mo" TargetMode="External"/><Relationship Id="rId133" Type="http://schemas.openxmlformats.org/officeDocument/2006/relationships/hyperlink" Target="https://www.energysage.com/local-data/solar-rebates-incentives/mo/" TargetMode="External"/><Relationship Id="rId134" Type="http://schemas.openxmlformats.org/officeDocument/2006/relationships/hyperlink" Target="https://northdakota.solartech.org/" TargetMode="External"/><Relationship Id="rId135" Type="http://schemas.openxmlformats.org/officeDocument/2006/relationships/hyperlink" Target="https://www.consumeraffairs.com/solar-energy/north-dakota-solar-incentives.html" TargetMode="External"/><Relationship Id="rId136" Type="http://schemas.openxmlformats.org/officeDocument/2006/relationships/hyperlink" Target="https://liheapch.acf.gov/profiles/ND.htm" TargetMode="External"/><Relationship Id="rId137" Type="http://schemas.openxmlformats.org/officeDocument/2006/relationships/hyperlink" Target="https://www.ecowatch.com/solar/incentives/sd" TargetMode="External"/><Relationship Id="rId138" Type="http://schemas.openxmlformats.org/officeDocument/2006/relationships/hyperlink" Target="https://www.ecowatch.com/solar/incentives/sd" TargetMode="External"/><Relationship Id="rId139" Type="http://schemas.openxmlformats.org/officeDocument/2006/relationships/hyperlink" Target="https://mn.my.xcelenergy.com/s/residential/heating-cooling/ac-rewards" TargetMode="External"/><Relationship Id="rId140" Type="http://schemas.openxmlformats.org/officeDocument/2006/relationships/hyperlink" Target="https://liheapch.acf.gov/profiles/SD.htm" TargetMode="External"/><Relationship Id="rId141" Type="http://schemas.openxmlformats.org/officeDocument/2006/relationships/hyperlink" Target="https://nuwattenergy.com/en/texas/austin-energy-solar-rebate-guide" TargetMode="External"/><Relationship Id="rId142" Type="http://schemas.openxmlformats.org/officeDocument/2006/relationships/hyperlink" Target="https://nuwattenergy.com/en/texas/solar-incentives-2026" TargetMode="External"/><Relationship Id="rId143" Type="http://schemas.openxmlformats.org/officeDocument/2006/relationships/hyperlink" Target="https://nuwattenergy.com/en/texas/solar-incentives-2026" TargetMode="External"/><Relationship Id="rId144" Type="http://schemas.openxmlformats.org/officeDocument/2006/relationships/hyperlink" Target="https://www.solarreviews.com/solar-incentives/texas" TargetMode="External"/><Relationship Id="rId145" Type="http://schemas.openxmlformats.org/officeDocument/2006/relationships/hyperlink" Target="https://nuwattenergy.com/en/texas/solar-incentives-2026" TargetMode="External"/><Relationship Id="rId146" Type="http://schemas.openxmlformats.org/officeDocument/2006/relationships/hyperlink" Target="https://www.lcra.org/water/watersmart/rebates/" TargetMode="External"/><Relationship Id="rId147" Type="http://schemas.openxmlformats.org/officeDocument/2006/relationships/hyperlink" Target="https://www.epelectric.com/energy-efficiency/" TargetMode="External"/><Relationship Id="rId148" Type="http://schemas.openxmlformats.org/officeDocument/2006/relationships/hyperlink" Target="https://www.consumeraffairs.com/solar-energy/oklahoma-solar-incentives.html" TargetMode="External"/><Relationship Id="rId149" Type="http://schemas.openxmlformats.org/officeDocument/2006/relationships/hyperlink" Target="https://www.consumeraffairs.com/solar-energy/oklahoma-solar-incentives.html" TargetMode="External"/><Relationship Id="rId150" Type="http://schemas.openxmlformats.org/officeDocument/2006/relationships/hyperlink" Target="https://www.energysage.com/local-data/solar-rebates-incentives/ok/" TargetMode="External"/><Relationship Id="rId151" Type="http://schemas.openxmlformats.org/officeDocument/2006/relationships/hyperlink" Target="https://www.energysage.com/local-data/solar-rebates-incentives/ar/" TargetMode="External"/><Relationship Id="rId152" Type="http://schemas.openxmlformats.org/officeDocument/2006/relationships/hyperlink" Target="https://www.consumeraffairs.com/solar-energy/arkansas-solar-incentives.html" TargetMode="External"/><Relationship Id="rId153" Type="http://schemas.openxmlformats.org/officeDocument/2006/relationships/hyperlink" Target="https://www.energysage.com/local-data/solar-rebates-incentives/la/" TargetMode="External"/><Relationship Id="rId154" Type="http://schemas.openxmlformats.org/officeDocument/2006/relationships/hyperlink" Target="https://www.energysage.com/local-data/solar-rebates-incentives/la/" TargetMode="External"/><Relationship Id="rId155" Type="http://schemas.openxmlformats.org/officeDocument/2006/relationships/hyperlink" Target="https://www.consumeraffairs.com/solar-energy/louisiana-solar-incentives.html" TargetMode="External"/><Relationship Id="rId156" Type="http://schemas.openxmlformats.org/officeDocument/2006/relationships/hyperlink" Target="https://www.entergymississippi.com/net-metering" TargetMode="External"/><Relationship Id="rId157" Type="http://schemas.openxmlformats.org/officeDocument/2006/relationships/hyperlink" Target="https://www.utilitydive.com/news/mississippi-rooftop-solar-low-income-PSC-net-metering/627245/" TargetMode="External"/><Relationship Id="rId158" Type="http://schemas.openxmlformats.org/officeDocument/2006/relationships/hyperlink" Target="https://www.ecowatch.com/solar/incentives/ms" TargetMode="External"/><Relationship Id="rId159" Type="http://schemas.openxmlformats.org/officeDocument/2006/relationships/hyperlink" Target="https://dwee.nebraska.gov/state-energy-information/dollar-energy-saving-loans/15-nppd-dollar-energy-saving-loans" TargetMode="External"/><Relationship Id="rId160" Type="http://schemas.openxmlformats.org/officeDocument/2006/relationships/hyperlink" Target="https://www.energysage.com/local-data/solar-rebates-incentives/ne/" TargetMode="External"/><Relationship Id="rId161" Type="http://schemas.openxmlformats.org/officeDocument/2006/relationships/hyperlink" Target="https://www.energysage.com/local-data/solar-rebates-incentives/ne/" TargetMode="External"/><Relationship Id="rId162" Type="http://schemas.openxmlformats.org/officeDocument/2006/relationships/hyperlink" Target="https://www.energysage.com/local-data/solar-rebates-incentives/ks/" TargetMode="External"/><Relationship Id="rId163" Type="http://schemas.openxmlformats.org/officeDocument/2006/relationships/hyperlink" Target="https://www.evergy.com/-/media/documents/ways-to-save/discounts/kansas-rebate-incentive-chart.pdf" TargetMode="External"/><Relationship Id="rId164" Type="http://schemas.openxmlformats.org/officeDocument/2006/relationships/hyperlink" Target="https://www.energysage.com/heat-pumps/heat-pump-incentives/colorado-heat-pump-rebates-and-incentives/" TargetMode="External"/><Relationship Id="rId165" Type="http://schemas.openxmlformats.org/officeDocument/2006/relationships/hyperlink" Target="https://harnessoursun.com/colorado-solar-incentives-2026-2/" TargetMode="External"/><Relationship Id="rId166" Type="http://schemas.openxmlformats.org/officeDocument/2006/relationships/hyperlink" Target="https://evco.colorado.gov/whats-new/lock-in-up-to-6000-in-ev-savings-before-december-31-deadline" TargetMode="External"/><Relationship Id="rId167" Type="http://schemas.openxmlformats.org/officeDocument/2006/relationships/hyperlink" Target="https://evco.colorado.gov/whats-new/lock-in-up-to-6000-in-ev-savings-before-december-31-deadline" TargetMode="External"/><Relationship Id="rId168" Type="http://schemas.openxmlformats.org/officeDocument/2006/relationships/hyperlink" Target="https://www.energysage.com/heat-pumps/heat-pump-incentives/colorado-heat-pump-rebates-and-incentives/" TargetMode="External"/><Relationship Id="rId169" Type="http://schemas.openxmlformats.org/officeDocument/2006/relationships/hyperlink" Target="https://www.energysage.com/local-data/solar-rebates-incentives/co/" TargetMode="External"/><Relationship Id="rId170" Type="http://schemas.openxmlformats.org/officeDocument/2006/relationships/hyperlink" Target="https://www.ecowatch.com/solar/incentives/nm" TargetMode="External"/><Relationship Id="rId171" Type="http://schemas.openxmlformats.org/officeDocument/2006/relationships/hyperlink" Target="https://350newmexico.org/solar-and-battery-storage/" TargetMode="External"/><Relationship Id="rId172" Type="http://schemas.openxmlformats.org/officeDocument/2006/relationships/hyperlink" Target="https://www.emnrd.nm.gov/ecmd/faq/clean-car-tax-credits/" TargetMode="External"/><Relationship Id="rId173" Type="http://schemas.openxmlformats.org/officeDocument/2006/relationships/hyperlink" Target="https://www.emnrd.nm.gov/ecmd/faq/clean-car-tax-credits/" TargetMode="External"/><Relationship Id="rId174" Type="http://schemas.openxmlformats.org/officeDocument/2006/relationships/hyperlink" Target="https://clean.energy.nm.gov/programs/hear/" TargetMode="External"/><Relationship Id="rId175" Type="http://schemas.openxmlformats.org/officeDocument/2006/relationships/hyperlink" Target="https://www.ecowatch.com/solar/incentives/mt" TargetMode="External"/><Relationship Id="rId176" Type="http://schemas.openxmlformats.org/officeDocument/2006/relationships/hyperlink" Target="https://www.solarreviews.com/solar-incentives/montana" TargetMode="External"/><Relationship Id="rId177" Type="http://schemas.openxmlformats.org/officeDocument/2006/relationships/hyperlink" Target="https://www.ecowatch.com/solar/incentives/mt" TargetMode="External"/><Relationship Id="rId178" Type="http://schemas.openxmlformats.org/officeDocument/2006/relationships/hyperlink" Target="https://www.cpuc.ca.gov/nembillingtariff" TargetMode="External"/><Relationship Id="rId179" Type="http://schemas.openxmlformats.org/officeDocument/2006/relationships/hyperlink" Target="https://www.cpuc.ca.gov/sgip" TargetMode="External"/><Relationship Id="rId180" Type="http://schemas.openxmlformats.org/officeDocument/2006/relationships/hyperlink" Target="https://www.cpuc.ca.gov/sgip" TargetMode="External"/><Relationship Id="rId181" Type="http://schemas.openxmlformats.org/officeDocument/2006/relationships/hyperlink" Target="https://techcleanca.com/incentives/single-family-incentives/" TargetMode="External"/><Relationship Id="rId182" Type="http://schemas.openxmlformats.org/officeDocument/2006/relationships/hyperlink" Target="https://techcleanca.com/incentives/heehrarebates/" TargetMode="External"/><Relationship Id="rId183" Type="http://schemas.openxmlformats.org/officeDocument/2006/relationships/hyperlink" Target="https://ww2.arb.ca.gov/our-work/programs/clean-cars-4-all" TargetMode="External"/><Relationship Id="rId184" Type="http://schemas.openxmlformats.org/officeDocument/2006/relationships/hyperlink" Target="https://ww2.arb.ca.gov/our-work/programs/clean-cars-4-all" TargetMode="External"/><Relationship Id="rId185" Type="http://schemas.openxmlformats.org/officeDocument/2006/relationships/hyperlink" Target="https://cleanvehiclerebate.org/" TargetMode="External"/><Relationship Id="rId186" Type="http://schemas.openxmlformats.org/officeDocument/2006/relationships/hyperlink" Target="https://socalwatersmart.com/" TargetMode="External"/><Relationship Id="rId187" Type="http://schemas.openxmlformats.org/officeDocument/2006/relationships/hyperlink" Target="https://broadbandforall.cdt.ca.gov/" TargetMode="External"/><Relationship Id="rId188" Type="http://schemas.openxmlformats.org/officeDocument/2006/relationships/hyperlink" Target="https://dor.wa.gov/" TargetMode="External"/><Relationship Id="rId189" Type="http://schemas.openxmlformats.org/officeDocument/2006/relationships/hyperlink" Target="https://www.utc.wa.gov/" TargetMode="External"/><Relationship Id="rId190" Type="http://schemas.openxmlformats.org/officeDocument/2006/relationships/hyperlink" Target="https://www.commerce.wa.gov/energy-incentives/ira-home-energy-rebates/" TargetMode="External"/><Relationship Id="rId191" Type="http://schemas.openxmlformats.org/officeDocument/2006/relationships/hyperlink" Target="https://fundhub.wa.gov/funding/tax-credit-for-heat-pumps-and-heat-pump-hot-water-heaters/" TargetMode="External"/><Relationship Id="rId192" Type="http://schemas.openxmlformats.org/officeDocument/2006/relationships/hyperlink" Target="https://www.commerce.wa.gov/clean-transportation/ev-instant-rebate/" TargetMode="External"/><Relationship Id="rId193" Type="http://schemas.openxmlformats.org/officeDocument/2006/relationships/hyperlink" Target="https://www.oregon.gov/energy/incentives/pages/solar-storage-rebate-program.aspx" TargetMode="External"/><Relationship Id="rId194" Type="http://schemas.openxmlformats.org/officeDocument/2006/relationships/hyperlink" Target="https://www.energytrust.org/" TargetMode="External"/><Relationship Id="rId195" Type="http://schemas.openxmlformats.org/officeDocument/2006/relationships/hyperlink" Target="https://www.oregon.gov/energy/incentives/" TargetMode="External"/><Relationship Id="rId196" Type="http://schemas.openxmlformats.org/officeDocument/2006/relationships/hyperlink" Target="https://www.oregon.gov/deq/aq/programs/pages/zev-incentives.aspx" TargetMode="External"/><Relationship Id="rId197" Type="http://schemas.openxmlformats.org/officeDocument/2006/relationships/hyperlink" Target="https://www.oregon.gov/energy/incentives/" TargetMode="External"/><Relationship Id="rId198" Type="http://schemas.openxmlformats.org/officeDocument/2006/relationships/hyperlink" Target="https://www.energysage.com/local-data/net-metering/nv-energy/" TargetMode="External"/><Relationship Id="rId199" Type="http://schemas.openxmlformats.org/officeDocument/2006/relationships/hyperlink" Target="https://www.ohmsnap.com/utilities/nevada/nv-energy/battery-storage" TargetMode="External"/><Relationship Id="rId200" Type="http://schemas.openxmlformats.org/officeDocument/2006/relationships/hyperlink" Target="https://rebateatlas.org/states/nevada/" TargetMode="External"/><Relationship Id="rId201" Type="http://schemas.openxmlformats.org/officeDocument/2006/relationships/hyperlink" Target="https://rebates4evchargers.com/utility.php/nv-energy" TargetMode="External"/><Relationship Id="rId202" Type="http://schemas.openxmlformats.org/officeDocument/2006/relationships/hyperlink" Target="https://www.snwa.com/rebates/wsl/index.html" TargetMode="External"/><Relationship Id="rId203" Type="http://schemas.openxmlformats.org/officeDocument/2006/relationships/hyperlink" Target="https://resilient.az.gov/clean-energy-hub/households/residential-solar-and-wind-energy-systems-tax-credit" TargetMode="External"/><Relationship Id="rId204" Type="http://schemas.openxmlformats.org/officeDocument/2006/relationships/hyperlink" Target="https://www.energysage.com/local-data/solar-rebates-incentives/az/" TargetMode="External"/><Relationship Id="rId205" Type="http://schemas.openxmlformats.org/officeDocument/2006/relationships/hyperlink" Target="https://arizonasolarlist.com/arizona-solar-incentives" TargetMode="External"/><Relationship Id="rId206" Type="http://schemas.openxmlformats.org/officeDocument/2006/relationships/hyperlink" Target="https://www.amwua.org/" TargetMode="External"/><Relationship Id="rId207" Type="http://schemas.openxmlformats.org/officeDocument/2006/relationships/hyperlink" Target="https://energy.utah.gov/" TargetMode="External"/><Relationship Id="rId208" Type="http://schemas.openxmlformats.org/officeDocument/2006/relationships/hyperlink" Target="https://www.energysage.com/local-data/net-metering/rocky-mountain-power/" TargetMode="External"/><Relationship Id="rId209" Type="http://schemas.openxmlformats.org/officeDocument/2006/relationships/hyperlink" Target="https://conservewater.utah.gov/landscape-rebates/" TargetMode="External"/><Relationship Id="rId210" Type="http://schemas.openxmlformats.org/officeDocument/2006/relationships/hyperlink" Target="https://legislature.idaho.gov/statutesrules/idstat/title63/t63ch30/sect63-3022c/" TargetMode="External"/><Relationship Id="rId211" Type="http://schemas.openxmlformats.org/officeDocument/2006/relationships/hyperlink" Target="https://www.energysage.com/local-data/solar-rebates-incentives/id/" TargetMode="External"/><Relationship Id="rId212" Type="http://schemas.openxmlformats.org/officeDocument/2006/relationships/hyperlink" Target="https://oemr.idaho.gov/loan-program/" TargetMode="External"/><Relationship Id="rId213" Type="http://schemas.openxmlformats.org/officeDocument/2006/relationships/hyperlink" Target="https://www.energysage.com/local-data/solar-rebates-incentives/wy/" TargetMode="External"/><Relationship Id="rId214" Type="http://schemas.openxmlformats.org/officeDocument/2006/relationships/hyperlink" Target="https://www.cleanenergyauthority.com/solar-rebates-and-incentives/wyoming" TargetMode="External"/><Relationship Id="rId215" Type="http://schemas.openxmlformats.org/officeDocument/2006/relationships/hyperlink" Target="https://dfs.wyo.gov/" TargetMode="External"/><Relationship Id="rId216" Type="http://schemas.openxmlformats.org/officeDocument/2006/relationships/hyperlink" Target="https://www.ahfc.us/efficiency/programs-for-homeowners/alaska-residential-energy-rebates" TargetMode="External"/><Relationship Id="rId217" Type="http://schemas.openxmlformats.org/officeDocument/2006/relationships/hyperlink" Target="https://akrebate.ahfc.us/" TargetMode="External"/><Relationship Id="rId218" Type="http://schemas.openxmlformats.org/officeDocument/2006/relationships/hyperlink" Target="https://www.hawaiianelectric.com/products-and-services/customer-incentive-programs" TargetMode="External"/><Relationship Id="rId219" Type="http://schemas.openxmlformats.org/officeDocument/2006/relationships/hyperlink" Target="https://www.hawaiianelectric.com/products-and-services/customer-incentive-programs" TargetMode="External"/><Relationship Id="rId220" Type="http://schemas.openxmlformats.org/officeDocument/2006/relationships/hyperlink" Target="https://tax.hawaii.gov/" TargetMode="External"/><Relationship Id="rId221" Type="http://schemas.openxmlformats.org/officeDocument/2006/relationships/hyperlink" Target="https://gems.hawaii.gov/" TargetMode="External"/><Relationship Id="rId22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</row>
    <row r="6" customFormat="false" ht="48" hidden="false" customHeight="true" outlineLevel="0" collapsed="false">
      <c r="A6" s="4" t="s">
        <v>4</v>
      </c>
    </row>
    <row r="7" customFormat="false" ht="48" hidden="false" customHeight="true" outlineLevel="0" collapsed="false">
      <c r="A7" s="4" t="s">
        <v>5</v>
      </c>
    </row>
    <row r="8" customFormat="false" ht="36" hidden="false" customHeight="true" outlineLevel="0" collapsed="false">
      <c r="A8" s="4" t="s">
        <v>6</v>
      </c>
    </row>
    <row r="9" customFormat="false" ht="36" hidden="false" customHeight="true" outlineLevel="0" collapsed="false">
      <c r="A9" s="4" t="s">
        <v>7</v>
      </c>
    </row>
    <row r="10" customFormat="false" ht="13.5" hidden="false" customHeight="true" outlineLevel="0" collapsed="false">
      <c r="A10" s="4"/>
    </row>
    <row r="11" customFormat="false" ht="48" hidden="false" customHeight="true" outlineLevel="0" collapsed="false">
      <c r="A11" s="4" t="s">
        <v>8</v>
      </c>
    </row>
    <row r="12" customFormat="false" ht="48" hidden="false" customHeight="true" outlineLevel="0" collapsed="false">
      <c r="A12" s="4" t="s">
        <v>9</v>
      </c>
    </row>
    <row r="14" customFormat="false" ht="15" hidden="false" customHeight="false" outlineLevel="0" collapsed="false">
      <c r="A14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5" min="4" style="0" width="26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7"/>
  </cols>
  <sheetData>
    <row r="1" customFormat="false" ht="35.05" hidden="false" customHeight="fals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</row>
    <row r="2" customFormat="false" ht="32.8" hidden="false" customHeight="false" outlineLevel="0" collapsed="false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8" t="s">
        <v>34</v>
      </c>
      <c r="K2" s="8" t="s">
        <v>34</v>
      </c>
      <c r="L2" s="8" t="s">
        <v>34</v>
      </c>
      <c r="M2" s="8" t="s">
        <v>34</v>
      </c>
      <c r="N2" s="9" t="s">
        <v>35</v>
      </c>
    </row>
    <row r="3" customFormat="false" ht="32.8" hidden="false" customHeight="false" outlineLevel="0" collapsed="false">
      <c r="A3" s="7" t="s">
        <v>25</v>
      </c>
      <c r="B3" s="7" t="s">
        <v>26</v>
      </c>
      <c r="C3" s="7" t="s">
        <v>36</v>
      </c>
      <c r="D3" s="7" t="s">
        <v>28</v>
      </c>
      <c r="E3" s="7" t="s">
        <v>37</v>
      </c>
      <c r="F3" s="7" t="s">
        <v>30</v>
      </c>
      <c r="G3" s="7" t="s">
        <v>38</v>
      </c>
      <c r="H3" s="7" t="s">
        <v>39</v>
      </c>
      <c r="I3" s="7" t="s">
        <v>40</v>
      </c>
      <c r="J3" s="8" t="s">
        <v>34</v>
      </c>
      <c r="K3" s="8" t="s">
        <v>34</v>
      </c>
      <c r="L3" s="10" t="s">
        <v>41</v>
      </c>
      <c r="M3" s="8" t="s">
        <v>34</v>
      </c>
      <c r="N3" s="9" t="s">
        <v>35</v>
      </c>
    </row>
    <row r="4" customFormat="false" ht="22.35" hidden="false" customHeight="false" outlineLevel="0" collapsed="false">
      <c r="A4" s="7" t="s">
        <v>25</v>
      </c>
      <c r="B4" s="7" t="s">
        <v>26</v>
      </c>
      <c r="C4" s="7" t="s">
        <v>42</v>
      </c>
      <c r="D4" s="7" t="s">
        <v>28</v>
      </c>
      <c r="E4" s="7" t="s">
        <v>43</v>
      </c>
      <c r="F4" s="7" t="s">
        <v>30</v>
      </c>
      <c r="G4" s="7" t="s">
        <v>44</v>
      </c>
      <c r="H4" s="7" t="s">
        <v>45</v>
      </c>
      <c r="I4" s="7" t="s">
        <v>46</v>
      </c>
      <c r="J4" s="8" t="s">
        <v>34</v>
      </c>
      <c r="K4" s="8" t="s">
        <v>34</v>
      </c>
      <c r="L4" s="8" t="s">
        <v>34</v>
      </c>
      <c r="M4" s="8" t="s">
        <v>34</v>
      </c>
      <c r="N4" s="9" t="s">
        <v>35</v>
      </c>
    </row>
    <row r="5" customFormat="false" ht="22.35" hidden="false" customHeight="false" outlineLevel="0" collapsed="false">
      <c r="A5" s="7" t="s">
        <v>25</v>
      </c>
      <c r="B5" s="7" t="s">
        <v>26</v>
      </c>
      <c r="C5" s="7" t="s">
        <v>47</v>
      </c>
      <c r="D5" s="7" t="s">
        <v>28</v>
      </c>
      <c r="E5" s="7" t="s">
        <v>48</v>
      </c>
      <c r="F5" s="7" t="s">
        <v>30</v>
      </c>
      <c r="G5" s="7" t="s">
        <v>49</v>
      </c>
      <c r="H5" s="7" t="s">
        <v>50</v>
      </c>
      <c r="I5" s="7" t="s">
        <v>46</v>
      </c>
      <c r="J5" s="8" t="s">
        <v>34</v>
      </c>
      <c r="K5" s="8" t="s">
        <v>34</v>
      </c>
      <c r="L5" s="8" t="s">
        <v>34</v>
      </c>
      <c r="M5" s="8" t="s">
        <v>34</v>
      </c>
      <c r="N5" s="9" t="s">
        <v>35</v>
      </c>
    </row>
    <row r="6" customFormat="false" ht="32.8" hidden="false" customHeight="false" outlineLevel="0" collapsed="false">
      <c r="A6" s="7" t="s">
        <v>25</v>
      </c>
      <c r="B6" s="7" t="s">
        <v>26</v>
      </c>
      <c r="C6" s="7" t="s">
        <v>51</v>
      </c>
      <c r="D6" s="7" t="s">
        <v>28</v>
      </c>
      <c r="E6" s="7" t="s">
        <v>52</v>
      </c>
      <c r="F6" s="7" t="s">
        <v>30</v>
      </c>
      <c r="G6" s="7" t="s">
        <v>53</v>
      </c>
      <c r="H6" s="7" t="s">
        <v>54</v>
      </c>
      <c r="I6" s="7" t="s">
        <v>55</v>
      </c>
      <c r="J6" s="10" t="s">
        <v>41</v>
      </c>
      <c r="K6" s="8" t="s">
        <v>34</v>
      </c>
      <c r="L6" s="10" t="s">
        <v>41</v>
      </c>
      <c r="M6" s="8" t="s">
        <v>34</v>
      </c>
      <c r="N6" s="9" t="s">
        <v>35</v>
      </c>
    </row>
    <row r="7" customFormat="false" ht="32.8" hidden="false" customHeight="false" outlineLevel="0" collapsed="false">
      <c r="A7" s="7" t="s">
        <v>25</v>
      </c>
      <c r="B7" s="7" t="s">
        <v>26</v>
      </c>
      <c r="C7" s="7" t="s">
        <v>56</v>
      </c>
      <c r="D7" s="7" t="s">
        <v>57</v>
      </c>
      <c r="E7" s="7" t="s">
        <v>58</v>
      </c>
      <c r="F7" s="7" t="s">
        <v>59</v>
      </c>
      <c r="G7" s="7" t="s">
        <v>60</v>
      </c>
      <c r="H7" s="7" t="s">
        <v>61</v>
      </c>
      <c r="I7" s="7" t="s">
        <v>62</v>
      </c>
      <c r="J7" s="8" t="s">
        <v>34</v>
      </c>
      <c r="K7" s="10" t="s">
        <v>41</v>
      </c>
      <c r="L7" s="10" t="s">
        <v>41</v>
      </c>
      <c r="M7" s="10" t="s">
        <v>41</v>
      </c>
      <c r="N7" s="9" t="s">
        <v>35</v>
      </c>
    </row>
    <row r="8" customFormat="false" ht="22.35" hidden="false" customHeight="false" outlineLevel="0" collapsed="false">
      <c r="A8" s="7" t="s">
        <v>25</v>
      </c>
      <c r="B8" s="7" t="s">
        <v>26</v>
      </c>
      <c r="C8" s="7" t="s">
        <v>63</v>
      </c>
      <c r="D8" s="7" t="s">
        <v>57</v>
      </c>
      <c r="E8" s="7" t="s">
        <v>64</v>
      </c>
      <c r="F8" s="7" t="s">
        <v>65</v>
      </c>
      <c r="G8" s="7" t="s">
        <v>66</v>
      </c>
      <c r="H8" s="7" t="s">
        <v>67</v>
      </c>
      <c r="I8" s="7" t="s">
        <v>62</v>
      </c>
      <c r="J8" s="8" t="s">
        <v>34</v>
      </c>
      <c r="K8" s="8" t="s">
        <v>34</v>
      </c>
      <c r="L8" s="11" t="s">
        <v>68</v>
      </c>
      <c r="M8" s="8" t="s">
        <v>34</v>
      </c>
      <c r="N8" s="9" t="s">
        <v>35</v>
      </c>
    </row>
    <row r="9" customFormat="false" ht="22.35" hidden="false" customHeight="false" outlineLevel="0" collapsed="false">
      <c r="A9" s="7" t="s">
        <v>25</v>
      </c>
      <c r="B9" s="7" t="s">
        <v>26</v>
      </c>
      <c r="C9" s="7" t="s">
        <v>69</v>
      </c>
      <c r="D9" s="7" t="s">
        <v>70</v>
      </c>
      <c r="E9" s="7" t="s">
        <v>71</v>
      </c>
      <c r="F9" s="7" t="s">
        <v>72</v>
      </c>
      <c r="G9" s="7" t="s">
        <v>73</v>
      </c>
      <c r="H9" s="7" t="s">
        <v>74</v>
      </c>
      <c r="I9" s="7" t="s">
        <v>75</v>
      </c>
      <c r="J9" s="8" t="s">
        <v>34</v>
      </c>
      <c r="K9" s="10" t="s">
        <v>41</v>
      </c>
      <c r="L9" s="10" t="s">
        <v>41</v>
      </c>
      <c r="M9" s="10" t="s">
        <v>41</v>
      </c>
      <c r="N9" s="9" t="s">
        <v>35</v>
      </c>
    </row>
    <row r="10" customFormat="false" ht="22.35" hidden="false" customHeight="false" outlineLevel="0" collapsed="false">
      <c r="A10" s="7" t="s">
        <v>25</v>
      </c>
      <c r="B10" s="7" t="s">
        <v>26</v>
      </c>
      <c r="C10" s="7" t="s">
        <v>76</v>
      </c>
      <c r="D10" s="7" t="s">
        <v>77</v>
      </c>
      <c r="E10" s="7" t="s">
        <v>78</v>
      </c>
      <c r="F10" s="7" t="s">
        <v>79</v>
      </c>
      <c r="G10" s="7" t="s">
        <v>80</v>
      </c>
      <c r="H10" s="7" t="s">
        <v>81</v>
      </c>
      <c r="I10" s="7" t="s">
        <v>82</v>
      </c>
      <c r="J10" s="8" t="s">
        <v>34</v>
      </c>
      <c r="K10" s="10" t="s">
        <v>41</v>
      </c>
      <c r="L10" s="11" t="s">
        <v>68</v>
      </c>
      <c r="M10" s="10" t="s">
        <v>41</v>
      </c>
      <c r="N10" s="9" t="s">
        <v>35</v>
      </c>
    </row>
    <row r="11" customFormat="false" ht="22.35" hidden="false" customHeight="false" outlineLevel="0" collapsed="false">
      <c r="A11" s="7" t="s">
        <v>25</v>
      </c>
      <c r="B11" s="7" t="s">
        <v>26</v>
      </c>
      <c r="C11" s="7" t="s">
        <v>83</v>
      </c>
      <c r="D11" s="7" t="s">
        <v>84</v>
      </c>
      <c r="E11" s="7" t="s">
        <v>85</v>
      </c>
      <c r="F11" s="7" t="s">
        <v>86</v>
      </c>
      <c r="G11" s="7" t="s">
        <v>87</v>
      </c>
      <c r="H11" s="7" t="s">
        <v>88</v>
      </c>
      <c r="I11" s="7" t="s">
        <v>89</v>
      </c>
      <c r="J11" s="11" t="s">
        <v>68</v>
      </c>
      <c r="K11" s="10" t="s">
        <v>41</v>
      </c>
      <c r="L11" s="11" t="s">
        <v>68</v>
      </c>
      <c r="M11" s="10" t="s">
        <v>41</v>
      </c>
      <c r="N11" s="9" t="s">
        <v>35</v>
      </c>
    </row>
    <row r="12" customFormat="false" ht="22.35" hidden="false" customHeight="false" outlineLevel="0" collapsed="false">
      <c r="A12" s="7" t="s">
        <v>25</v>
      </c>
      <c r="B12" s="7" t="s">
        <v>26</v>
      </c>
      <c r="C12" s="7" t="s">
        <v>90</v>
      </c>
      <c r="D12" s="7" t="s">
        <v>91</v>
      </c>
      <c r="E12" s="7" t="s">
        <v>92</v>
      </c>
      <c r="F12" s="7" t="s">
        <v>86</v>
      </c>
      <c r="G12" s="7" t="s">
        <v>93</v>
      </c>
      <c r="H12" s="7" t="s">
        <v>94</v>
      </c>
      <c r="I12" s="7" t="s">
        <v>95</v>
      </c>
      <c r="J12" s="11" t="s">
        <v>68</v>
      </c>
      <c r="K12" s="8" t="s">
        <v>34</v>
      </c>
      <c r="L12" s="11" t="s">
        <v>68</v>
      </c>
      <c r="M12" s="8" t="s">
        <v>34</v>
      </c>
      <c r="N12" s="9" t="s">
        <v>35</v>
      </c>
    </row>
    <row r="13" customFormat="false" ht="22.35" hidden="false" customHeight="false" outlineLevel="0" collapsed="false">
      <c r="A13" s="7" t="s">
        <v>25</v>
      </c>
      <c r="B13" s="7" t="s">
        <v>26</v>
      </c>
      <c r="C13" s="7" t="s">
        <v>96</v>
      </c>
      <c r="D13" s="7" t="s">
        <v>97</v>
      </c>
      <c r="E13" s="7" t="s">
        <v>98</v>
      </c>
      <c r="F13" s="7" t="s">
        <v>99</v>
      </c>
      <c r="G13" s="7" t="s">
        <v>100</v>
      </c>
      <c r="H13" s="7" t="s">
        <v>101</v>
      </c>
      <c r="I13" s="7" t="s">
        <v>102</v>
      </c>
      <c r="J13" s="11" t="s">
        <v>68</v>
      </c>
      <c r="K13" s="10" t="s">
        <v>41</v>
      </c>
      <c r="L13" s="11" t="s">
        <v>68</v>
      </c>
      <c r="M13" s="10" t="s">
        <v>41</v>
      </c>
      <c r="N13" s="9" t="s">
        <v>35</v>
      </c>
    </row>
    <row r="14" customFormat="false" ht="22.35" hidden="false" customHeight="false" outlineLevel="0" collapsed="false">
      <c r="A14" s="7" t="s">
        <v>25</v>
      </c>
      <c r="B14" s="7" t="s">
        <v>26</v>
      </c>
      <c r="C14" s="7" t="s">
        <v>103</v>
      </c>
      <c r="D14" s="7" t="s">
        <v>104</v>
      </c>
      <c r="E14" s="7" t="s">
        <v>105</v>
      </c>
      <c r="F14" s="7" t="s">
        <v>106</v>
      </c>
      <c r="G14" s="7" t="s">
        <v>107</v>
      </c>
      <c r="H14" s="7" t="s">
        <v>108</v>
      </c>
      <c r="I14" s="7" t="s">
        <v>109</v>
      </c>
      <c r="J14" s="11" t="s">
        <v>68</v>
      </c>
      <c r="K14" s="10" t="s">
        <v>41</v>
      </c>
      <c r="L14" s="11" t="s">
        <v>68</v>
      </c>
      <c r="M14" s="10" t="s">
        <v>41</v>
      </c>
      <c r="N14" s="9" t="s">
        <v>35</v>
      </c>
    </row>
    <row r="15" customFormat="false" ht="43.25" hidden="false" customHeight="false" outlineLevel="0" collapsed="false">
      <c r="A15" s="7" t="s">
        <v>25</v>
      </c>
      <c r="B15" s="7" t="s">
        <v>26</v>
      </c>
      <c r="C15" s="7" t="s">
        <v>110</v>
      </c>
      <c r="D15" s="7" t="s">
        <v>28</v>
      </c>
      <c r="E15" s="7" t="s">
        <v>111</v>
      </c>
      <c r="F15" s="7" t="s">
        <v>112</v>
      </c>
      <c r="G15" s="7" t="s">
        <v>113</v>
      </c>
      <c r="H15" s="7" t="s">
        <v>114</v>
      </c>
      <c r="I15" s="7" t="s">
        <v>115</v>
      </c>
      <c r="J15" s="8" t="s">
        <v>34</v>
      </c>
      <c r="K15" s="8" t="s">
        <v>34</v>
      </c>
      <c r="L15" s="8" t="s">
        <v>34</v>
      </c>
      <c r="M15" s="8" t="s">
        <v>34</v>
      </c>
      <c r="N15" s="9" t="s">
        <v>35</v>
      </c>
    </row>
    <row r="16" customFormat="false" ht="22.35" hidden="false" customHeight="false" outlineLevel="0" collapsed="false">
      <c r="A16" s="7" t="s">
        <v>25</v>
      </c>
      <c r="B16" s="7" t="s">
        <v>26</v>
      </c>
      <c r="C16" s="7" t="s">
        <v>116</v>
      </c>
      <c r="D16" s="7" t="s">
        <v>117</v>
      </c>
      <c r="E16" s="7" t="s">
        <v>118</v>
      </c>
      <c r="F16" s="7" t="s">
        <v>119</v>
      </c>
      <c r="G16" s="7" t="s">
        <v>120</v>
      </c>
      <c r="H16" s="7" t="s">
        <v>121</v>
      </c>
      <c r="I16" s="7" t="s">
        <v>122</v>
      </c>
      <c r="J16" s="11" t="s">
        <v>68</v>
      </c>
      <c r="K16" s="10" t="s">
        <v>41</v>
      </c>
      <c r="L16" s="11" t="s">
        <v>68</v>
      </c>
      <c r="M16" s="10" t="s">
        <v>41</v>
      </c>
      <c r="N16" s="9" t="s">
        <v>35</v>
      </c>
    </row>
    <row r="17" customFormat="false" ht="22.35" hidden="false" customHeight="false" outlineLevel="0" collapsed="false">
      <c r="A17" s="7" t="s">
        <v>25</v>
      </c>
      <c r="B17" s="7" t="s">
        <v>26</v>
      </c>
      <c r="C17" s="7" t="s">
        <v>123</v>
      </c>
      <c r="D17" s="7" t="s">
        <v>124</v>
      </c>
      <c r="E17" s="7" t="s">
        <v>125</v>
      </c>
      <c r="F17" s="7" t="s">
        <v>126</v>
      </c>
      <c r="G17" s="7" t="s">
        <v>120</v>
      </c>
      <c r="H17" s="7" t="s">
        <v>121</v>
      </c>
      <c r="I17" s="7" t="s">
        <v>127</v>
      </c>
      <c r="J17" s="10" t="s">
        <v>41</v>
      </c>
      <c r="K17" s="10" t="s">
        <v>41</v>
      </c>
      <c r="L17" s="11" t="s">
        <v>68</v>
      </c>
      <c r="M17" s="10" t="s">
        <v>41</v>
      </c>
      <c r="N17" s="9" t="s">
        <v>35</v>
      </c>
    </row>
    <row r="18" customFormat="false" ht="22.35" hidden="false" customHeight="false" outlineLevel="0" collapsed="false">
      <c r="A18" s="7" t="s">
        <v>12</v>
      </c>
      <c r="B18" s="7" t="s">
        <v>128</v>
      </c>
      <c r="C18" s="7" t="s">
        <v>129</v>
      </c>
      <c r="D18" s="7" t="s">
        <v>130</v>
      </c>
      <c r="E18" s="7" t="s">
        <v>131</v>
      </c>
      <c r="F18" s="7" t="s">
        <v>132</v>
      </c>
      <c r="G18" s="7" t="s">
        <v>133</v>
      </c>
      <c r="H18" s="7" t="s">
        <v>134</v>
      </c>
      <c r="I18" s="7" t="s">
        <v>135</v>
      </c>
      <c r="J18" s="8" t="s">
        <v>34</v>
      </c>
      <c r="K18" s="10" t="s">
        <v>41</v>
      </c>
      <c r="L18" s="8" t="s">
        <v>34</v>
      </c>
      <c r="M18" s="10" t="s">
        <v>41</v>
      </c>
      <c r="N18" s="9" t="s">
        <v>35</v>
      </c>
    </row>
    <row r="19" customFormat="false" ht="22.35" hidden="false" customHeight="false" outlineLevel="0" collapsed="false">
      <c r="A19" s="7" t="s">
        <v>12</v>
      </c>
      <c r="B19" s="7" t="s">
        <v>128</v>
      </c>
      <c r="C19" s="7" t="s">
        <v>136</v>
      </c>
      <c r="D19" s="7" t="s">
        <v>137</v>
      </c>
      <c r="E19" s="7" t="s">
        <v>138</v>
      </c>
      <c r="F19" s="7" t="s">
        <v>139</v>
      </c>
      <c r="G19" s="7" t="s">
        <v>140</v>
      </c>
      <c r="H19" s="7" t="s">
        <v>141</v>
      </c>
      <c r="I19" s="7" t="s">
        <v>135</v>
      </c>
      <c r="J19" s="8" t="s">
        <v>34</v>
      </c>
      <c r="K19" s="10" t="s">
        <v>41</v>
      </c>
      <c r="L19" s="10" t="s">
        <v>41</v>
      </c>
      <c r="M19" s="10" t="s">
        <v>41</v>
      </c>
      <c r="N19" s="9" t="s">
        <v>35</v>
      </c>
    </row>
    <row r="20" customFormat="false" ht="22.35" hidden="false" customHeight="false" outlineLevel="0" collapsed="false">
      <c r="A20" s="7" t="s">
        <v>12</v>
      </c>
      <c r="B20" s="7" t="s">
        <v>128</v>
      </c>
      <c r="C20" s="7" t="s">
        <v>142</v>
      </c>
      <c r="D20" s="7" t="s">
        <v>137</v>
      </c>
      <c r="E20" s="7" t="s">
        <v>143</v>
      </c>
      <c r="F20" s="7" t="s">
        <v>139</v>
      </c>
      <c r="G20" s="7" t="s">
        <v>144</v>
      </c>
      <c r="H20" s="7" t="s">
        <v>141</v>
      </c>
      <c r="I20" s="7" t="s">
        <v>135</v>
      </c>
      <c r="J20" s="8" t="s">
        <v>34</v>
      </c>
      <c r="K20" s="10" t="s">
        <v>41</v>
      </c>
      <c r="L20" s="11" t="s">
        <v>68</v>
      </c>
      <c r="M20" s="10" t="s">
        <v>41</v>
      </c>
      <c r="N20" s="9" t="s">
        <v>35</v>
      </c>
    </row>
    <row r="21" customFormat="false" ht="22.35" hidden="false" customHeight="false" outlineLevel="0" collapsed="false">
      <c r="A21" s="7" t="s">
        <v>12</v>
      </c>
      <c r="B21" s="7" t="s">
        <v>128</v>
      </c>
      <c r="C21" s="7" t="s">
        <v>145</v>
      </c>
      <c r="D21" s="7" t="s">
        <v>137</v>
      </c>
      <c r="E21" s="7" t="s">
        <v>146</v>
      </c>
      <c r="F21" s="7" t="s">
        <v>139</v>
      </c>
      <c r="G21" s="7" t="s">
        <v>147</v>
      </c>
      <c r="H21" s="7" t="s">
        <v>141</v>
      </c>
      <c r="I21" s="7" t="s">
        <v>135</v>
      </c>
      <c r="J21" s="8" t="s">
        <v>34</v>
      </c>
      <c r="K21" s="10" t="s">
        <v>41</v>
      </c>
      <c r="L21" s="11" t="s">
        <v>68</v>
      </c>
      <c r="M21" s="10" t="s">
        <v>41</v>
      </c>
      <c r="N21" s="9" t="s">
        <v>35</v>
      </c>
    </row>
    <row r="22" customFormat="false" ht="15" hidden="false" customHeight="false" outlineLevel="0" collapsed="false">
      <c r="A22" s="7" t="s">
        <v>12</v>
      </c>
      <c r="B22" s="7" t="s">
        <v>128</v>
      </c>
      <c r="C22" s="7" t="s">
        <v>148</v>
      </c>
      <c r="D22" s="7" t="s">
        <v>137</v>
      </c>
      <c r="E22" s="7" t="s">
        <v>149</v>
      </c>
      <c r="F22" s="7" t="s">
        <v>139</v>
      </c>
      <c r="G22" s="7" t="s">
        <v>150</v>
      </c>
      <c r="H22" s="7" t="s">
        <v>134</v>
      </c>
      <c r="I22" s="7" t="s">
        <v>135</v>
      </c>
      <c r="J22" s="10" t="s">
        <v>41</v>
      </c>
      <c r="K22" s="10" t="s">
        <v>41</v>
      </c>
      <c r="L22" s="11" t="s">
        <v>68</v>
      </c>
      <c r="M22" s="10" t="s">
        <v>41</v>
      </c>
      <c r="N22" s="9" t="s">
        <v>35</v>
      </c>
    </row>
    <row r="23" customFormat="false" ht="22.35" hidden="false" customHeight="false" outlineLevel="0" collapsed="false">
      <c r="A23" s="7" t="s">
        <v>12</v>
      </c>
      <c r="B23" s="7" t="s">
        <v>151</v>
      </c>
      <c r="C23" s="7" t="s">
        <v>152</v>
      </c>
      <c r="D23" s="7" t="s">
        <v>153</v>
      </c>
      <c r="E23" s="7" t="s">
        <v>131</v>
      </c>
      <c r="F23" s="7" t="s">
        <v>139</v>
      </c>
      <c r="G23" s="7" t="s">
        <v>154</v>
      </c>
      <c r="H23" s="7" t="s">
        <v>134</v>
      </c>
      <c r="I23" s="7" t="s">
        <v>155</v>
      </c>
      <c r="J23" s="8" t="s">
        <v>34</v>
      </c>
      <c r="K23" s="8" t="s">
        <v>34</v>
      </c>
      <c r="L23" s="8" t="s">
        <v>34</v>
      </c>
      <c r="M23" s="8" t="s">
        <v>34</v>
      </c>
      <c r="N23" s="9" t="s">
        <v>35</v>
      </c>
    </row>
    <row r="24" customFormat="false" ht="22.35" hidden="false" customHeight="false" outlineLevel="0" collapsed="false">
      <c r="A24" s="7" t="s">
        <v>12</v>
      </c>
      <c r="B24" s="7" t="s">
        <v>151</v>
      </c>
      <c r="C24" s="7" t="s">
        <v>156</v>
      </c>
      <c r="D24" s="7" t="s">
        <v>157</v>
      </c>
      <c r="E24" s="7" t="s">
        <v>131</v>
      </c>
      <c r="F24" s="7" t="s">
        <v>132</v>
      </c>
      <c r="G24" s="7" t="s">
        <v>158</v>
      </c>
      <c r="H24" s="7" t="s">
        <v>134</v>
      </c>
      <c r="I24" s="7" t="s">
        <v>135</v>
      </c>
      <c r="J24" s="8" t="s">
        <v>34</v>
      </c>
      <c r="K24" s="10" t="s">
        <v>41</v>
      </c>
      <c r="L24" s="8" t="s">
        <v>34</v>
      </c>
      <c r="M24" s="10" t="s">
        <v>41</v>
      </c>
      <c r="N24" s="9" t="s">
        <v>35</v>
      </c>
    </row>
    <row r="25" customFormat="false" ht="22.35" hidden="false" customHeight="false" outlineLevel="0" collapsed="false">
      <c r="A25" s="7" t="s">
        <v>12</v>
      </c>
      <c r="B25" s="7" t="s">
        <v>151</v>
      </c>
      <c r="C25" s="7" t="s">
        <v>159</v>
      </c>
      <c r="D25" s="7" t="s">
        <v>160</v>
      </c>
      <c r="E25" s="7" t="s">
        <v>161</v>
      </c>
      <c r="F25" s="7" t="s">
        <v>162</v>
      </c>
      <c r="G25" s="7" t="s">
        <v>163</v>
      </c>
      <c r="H25" s="7" t="s">
        <v>164</v>
      </c>
      <c r="I25" s="7" t="s">
        <v>135</v>
      </c>
      <c r="J25" s="8" t="s">
        <v>34</v>
      </c>
      <c r="K25" s="8" t="s">
        <v>34</v>
      </c>
      <c r="L25" s="10" t="s">
        <v>41</v>
      </c>
      <c r="M25" s="8" t="s">
        <v>34</v>
      </c>
      <c r="N25" s="9" t="s">
        <v>35</v>
      </c>
    </row>
    <row r="26" customFormat="false" ht="22.35" hidden="false" customHeight="false" outlineLevel="0" collapsed="false">
      <c r="A26" s="7" t="s">
        <v>12</v>
      </c>
      <c r="B26" s="7" t="s">
        <v>151</v>
      </c>
      <c r="C26" s="7" t="s">
        <v>165</v>
      </c>
      <c r="D26" s="7" t="s">
        <v>166</v>
      </c>
      <c r="E26" s="7" t="s">
        <v>167</v>
      </c>
      <c r="F26" s="7" t="s">
        <v>139</v>
      </c>
      <c r="G26" s="7" t="s">
        <v>168</v>
      </c>
      <c r="H26" s="7" t="s">
        <v>141</v>
      </c>
      <c r="I26" s="7" t="s">
        <v>135</v>
      </c>
      <c r="J26" s="8" t="s">
        <v>34</v>
      </c>
      <c r="K26" s="10" t="s">
        <v>41</v>
      </c>
      <c r="L26" s="10" t="s">
        <v>41</v>
      </c>
      <c r="M26" s="10" t="s">
        <v>41</v>
      </c>
      <c r="N26" s="9" t="s">
        <v>35</v>
      </c>
    </row>
    <row r="27" customFormat="false" ht="22.35" hidden="false" customHeight="false" outlineLevel="0" collapsed="false">
      <c r="A27" s="7" t="s">
        <v>12</v>
      </c>
      <c r="B27" s="7" t="s">
        <v>169</v>
      </c>
      <c r="C27" s="7" t="s">
        <v>156</v>
      </c>
      <c r="D27" s="7" t="s">
        <v>170</v>
      </c>
      <c r="E27" s="7" t="s">
        <v>131</v>
      </c>
      <c r="F27" s="7" t="s">
        <v>132</v>
      </c>
      <c r="G27" s="7" t="s">
        <v>171</v>
      </c>
      <c r="H27" s="7" t="s">
        <v>134</v>
      </c>
      <c r="I27" s="7" t="s">
        <v>135</v>
      </c>
      <c r="J27" s="8" t="s">
        <v>34</v>
      </c>
      <c r="K27" s="10" t="s">
        <v>41</v>
      </c>
      <c r="L27" s="8" t="s">
        <v>34</v>
      </c>
      <c r="M27" s="10" t="s">
        <v>41</v>
      </c>
      <c r="N27" s="9" t="s">
        <v>35</v>
      </c>
    </row>
    <row r="28" customFormat="false" ht="22.35" hidden="false" customHeight="false" outlineLevel="0" collapsed="false">
      <c r="A28" s="7" t="s">
        <v>12</v>
      </c>
      <c r="B28" s="7" t="s">
        <v>169</v>
      </c>
      <c r="C28" s="7" t="s">
        <v>172</v>
      </c>
      <c r="D28" s="7" t="s">
        <v>173</v>
      </c>
      <c r="E28" s="7" t="s">
        <v>138</v>
      </c>
      <c r="F28" s="7" t="s">
        <v>139</v>
      </c>
      <c r="G28" s="7" t="s">
        <v>174</v>
      </c>
      <c r="H28" s="7" t="s">
        <v>134</v>
      </c>
      <c r="I28" s="7" t="s">
        <v>135</v>
      </c>
      <c r="J28" s="8" t="s">
        <v>34</v>
      </c>
      <c r="K28" s="10" t="s">
        <v>41</v>
      </c>
      <c r="L28" s="10" t="s">
        <v>41</v>
      </c>
      <c r="M28" s="10" t="s">
        <v>41</v>
      </c>
      <c r="N28" s="9" t="s">
        <v>35</v>
      </c>
    </row>
    <row r="29" customFormat="false" ht="22.35" hidden="false" customHeight="false" outlineLevel="0" collapsed="false">
      <c r="A29" s="7" t="s">
        <v>12</v>
      </c>
      <c r="B29" s="7" t="s">
        <v>169</v>
      </c>
      <c r="C29" s="7" t="s">
        <v>175</v>
      </c>
      <c r="D29" s="7" t="s">
        <v>173</v>
      </c>
      <c r="E29" s="7" t="s">
        <v>146</v>
      </c>
      <c r="F29" s="7" t="s">
        <v>139</v>
      </c>
      <c r="G29" s="7" t="s">
        <v>176</v>
      </c>
      <c r="H29" s="7" t="s">
        <v>141</v>
      </c>
      <c r="I29" s="7" t="s">
        <v>177</v>
      </c>
      <c r="J29" s="8" t="s">
        <v>34</v>
      </c>
      <c r="K29" s="10" t="s">
        <v>41</v>
      </c>
      <c r="L29" s="11" t="s">
        <v>68</v>
      </c>
      <c r="M29" s="10" t="s">
        <v>41</v>
      </c>
      <c r="N29" s="9" t="s">
        <v>35</v>
      </c>
    </row>
    <row r="30" customFormat="false" ht="22.35" hidden="false" customHeight="false" outlineLevel="0" collapsed="false">
      <c r="A30" s="7" t="s">
        <v>12</v>
      </c>
      <c r="B30" s="7" t="s">
        <v>169</v>
      </c>
      <c r="C30" s="7" t="s">
        <v>178</v>
      </c>
      <c r="D30" s="7" t="s">
        <v>179</v>
      </c>
      <c r="E30" s="7" t="s">
        <v>180</v>
      </c>
      <c r="F30" s="7" t="s">
        <v>139</v>
      </c>
      <c r="G30" s="7" t="s">
        <v>181</v>
      </c>
      <c r="H30" s="7" t="s">
        <v>182</v>
      </c>
      <c r="I30" s="7" t="s">
        <v>183</v>
      </c>
      <c r="J30" s="8" t="s">
        <v>34</v>
      </c>
      <c r="K30" s="10" t="s">
        <v>41</v>
      </c>
      <c r="L30" s="8" t="s">
        <v>34</v>
      </c>
      <c r="M30" s="10" t="s">
        <v>41</v>
      </c>
      <c r="N30" s="9" t="s">
        <v>35</v>
      </c>
    </row>
    <row r="31" customFormat="false" ht="22.35" hidden="false" customHeight="false" outlineLevel="0" collapsed="false">
      <c r="A31" s="7" t="s">
        <v>12</v>
      </c>
      <c r="B31" s="7" t="s">
        <v>169</v>
      </c>
      <c r="C31" s="7" t="s">
        <v>184</v>
      </c>
      <c r="D31" s="7" t="s">
        <v>185</v>
      </c>
      <c r="E31" s="7" t="s">
        <v>180</v>
      </c>
      <c r="F31" s="7" t="s">
        <v>139</v>
      </c>
      <c r="G31" s="7" t="s">
        <v>186</v>
      </c>
      <c r="H31" s="7" t="s">
        <v>187</v>
      </c>
      <c r="I31" s="7" t="s">
        <v>188</v>
      </c>
      <c r="J31" s="8" t="s">
        <v>34</v>
      </c>
      <c r="K31" s="10" t="s">
        <v>41</v>
      </c>
      <c r="L31" s="8" t="s">
        <v>34</v>
      </c>
      <c r="M31" s="10" t="s">
        <v>41</v>
      </c>
      <c r="N31" s="9" t="s">
        <v>35</v>
      </c>
    </row>
    <row r="32" customFormat="false" ht="22.35" hidden="false" customHeight="false" outlineLevel="0" collapsed="false">
      <c r="A32" s="7" t="s">
        <v>12</v>
      </c>
      <c r="B32" s="7" t="s">
        <v>189</v>
      </c>
      <c r="C32" s="7" t="s">
        <v>190</v>
      </c>
      <c r="D32" s="7" t="s">
        <v>191</v>
      </c>
      <c r="E32" s="7" t="s">
        <v>131</v>
      </c>
      <c r="F32" s="7" t="s">
        <v>192</v>
      </c>
      <c r="G32" s="7" t="s">
        <v>193</v>
      </c>
      <c r="H32" s="7" t="s">
        <v>134</v>
      </c>
      <c r="I32" s="7" t="s">
        <v>135</v>
      </c>
      <c r="J32" s="8" t="s">
        <v>34</v>
      </c>
      <c r="K32" s="8" t="s">
        <v>34</v>
      </c>
      <c r="L32" s="8" t="s">
        <v>34</v>
      </c>
      <c r="M32" s="8" t="s">
        <v>34</v>
      </c>
      <c r="N32" s="9" t="s">
        <v>35</v>
      </c>
    </row>
    <row r="33" customFormat="false" ht="15" hidden="false" customHeight="false" outlineLevel="0" collapsed="false">
      <c r="A33" s="7" t="s">
        <v>12</v>
      </c>
      <c r="B33" s="7" t="s">
        <v>189</v>
      </c>
      <c r="C33" s="7" t="s">
        <v>194</v>
      </c>
      <c r="D33" s="7" t="s">
        <v>195</v>
      </c>
      <c r="E33" s="7" t="s">
        <v>138</v>
      </c>
      <c r="F33" s="7" t="s">
        <v>139</v>
      </c>
      <c r="G33" s="7" t="s">
        <v>196</v>
      </c>
      <c r="H33" s="7" t="s">
        <v>197</v>
      </c>
      <c r="I33" s="7" t="s">
        <v>135</v>
      </c>
      <c r="J33" s="8" t="s">
        <v>34</v>
      </c>
      <c r="K33" s="10" t="s">
        <v>41</v>
      </c>
      <c r="L33" s="10" t="s">
        <v>41</v>
      </c>
      <c r="M33" s="10" t="s">
        <v>41</v>
      </c>
      <c r="N33" s="9" t="s">
        <v>35</v>
      </c>
    </row>
    <row r="34" customFormat="false" ht="22.35" hidden="false" customHeight="false" outlineLevel="0" collapsed="false">
      <c r="A34" s="7" t="s">
        <v>12</v>
      </c>
      <c r="B34" s="7" t="s">
        <v>189</v>
      </c>
      <c r="C34" s="7" t="s">
        <v>198</v>
      </c>
      <c r="D34" s="7" t="s">
        <v>195</v>
      </c>
      <c r="E34" s="7" t="s">
        <v>146</v>
      </c>
      <c r="F34" s="7" t="s">
        <v>139</v>
      </c>
      <c r="G34" s="7" t="s">
        <v>199</v>
      </c>
      <c r="H34" s="7" t="s">
        <v>141</v>
      </c>
      <c r="I34" s="7" t="s">
        <v>135</v>
      </c>
      <c r="J34" s="8" t="s">
        <v>34</v>
      </c>
      <c r="K34" s="10" t="s">
        <v>41</v>
      </c>
      <c r="L34" s="11" t="s">
        <v>68</v>
      </c>
      <c r="M34" s="10" t="s">
        <v>41</v>
      </c>
      <c r="N34" s="9" t="s">
        <v>35</v>
      </c>
    </row>
    <row r="35" customFormat="false" ht="22.35" hidden="false" customHeight="false" outlineLevel="0" collapsed="false">
      <c r="A35" s="7" t="s">
        <v>12</v>
      </c>
      <c r="B35" s="7" t="s">
        <v>189</v>
      </c>
      <c r="C35" s="7" t="s">
        <v>200</v>
      </c>
      <c r="D35" s="7" t="s">
        <v>195</v>
      </c>
      <c r="E35" s="7" t="s">
        <v>161</v>
      </c>
      <c r="F35" s="7" t="s">
        <v>162</v>
      </c>
      <c r="G35" s="7" t="s">
        <v>201</v>
      </c>
      <c r="H35" s="7" t="s">
        <v>134</v>
      </c>
      <c r="I35" s="7" t="s">
        <v>135</v>
      </c>
      <c r="J35" s="8" t="s">
        <v>34</v>
      </c>
      <c r="K35" s="8" t="s">
        <v>34</v>
      </c>
      <c r="L35" s="10" t="s">
        <v>41</v>
      </c>
      <c r="M35" s="8" t="s">
        <v>34</v>
      </c>
      <c r="N35" s="9" t="s">
        <v>35</v>
      </c>
    </row>
    <row r="36" customFormat="false" ht="15" hidden="false" customHeight="false" outlineLevel="0" collapsed="false">
      <c r="A36" s="7" t="s">
        <v>12</v>
      </c>
      <c r="B36" s="7" t="s">
        <v>189</v>
      </c>
      <c r="C36" s="7" t="s">
        <v>202</v>
      </c>
      <c r="D36" s="7" t="s">
        <v>195</v>
      </c>
      <c r="E36" s="7" t="s">
        <v>203</v>
      </c>
      <c r="F36" s="7" t="s">
        <v>204</v>
      </c>
      <c r="G36" s="7" t="s">
        <v>205</v>
      </c>
      <c r="H36" s="7" t="s">
        <v>134</v>
      </c>
      <c r="I36" s="7" t="s">
        <v>135</v>
      </c>
      <c r="J36" s="10" t="s">
        <v>41</v>
      </c>
      <c r="K36" s="8" t="s">
        <v>34</v>
      </c>
      <c r="L36" s="11" t="s">
        <v>68</v>
      </c>
      <c r="M36" s="8" t="s">
        <v>34</v>
      </c>
      <c r="N36" s="9" t="s">
        <v>35</v>
      </c>
    </row>
    <row r="37" customFormat="false" ht="22.35" hidden="false" customHeight="false" outlineLevel="0" collapsed="false">
      <c r="A37" s="7" t="s">
        <v>12</v>
      </c>
      <c r="B37" s="7" t="s">
        <v>189</v>
      </c>
      <c r="C37" s="7" t="s">
        <v>206</v>
      </c>
      <c r="D37" s="7" t="s">
        <v>207</v>
      </c>
      <c r="E37" s="7" t="s">
        <v>180</v>
      </c>
      <c r="F37" s="7" t="s">
        <v>139</v>
      </c>
      <c r="G37" s="7" t="s">
        <v>208</v>
      </c>
      <c r="H37" s="7" t="s">
        <v>209</v>
      </c>
      <c r="I37" s="7" t="s">
        <v>135</v>
      </c>
      <c r="J37" s="8" t="s">
        <v>34</v>
      </c>
      <c r="K37" s="10" t="s">
        <v>41</v>
      </c>
      <c r="L37" s="8" t="s">
        <v>34</v>
      </c>
      <c r="M37" s="10" t="s">
        <v>41</v>
      </c>
      <c r="N37" s="9" t="s">
        <v>35</v>
      </c>
    </row>
    <row r="38" customFormat="false" ht="22.35" hidden="false" customHeight="false" outlineLevel="0" collapsed="false">
      <c r="A38" s="7" t="s">
        <v>12</v>
      </c>
      <c r="B38" s="7" t="s">
        <v>210</v>
      </c>
      <c r="C38" s="7" t="s">
        <v>211</v>
      </c>
      <c r="D38" s="7" t="s">
        <v>212</v>
      </c>
      <c r="E38" s="7" t="s">
        <v>131</v>
      </c>
      <c r="F38" s="7" t="s">
        <v>192</v>
      </c>
      <c r="G38" s="7" t="s">
        <v>213</v>
      </c>
      <c r="H38" s="7" t="s">
        <v>134</v>
      </c>
      <c r="I38" s="7" t="s">
        <v>135</v>
      </c>
      <c r="J38" s="8" t="s">
        <v>34</v>
      </c>
      <c r="K38" s="8" t="s">
        <v>34</v>
      </c>
      <c r="L38" s="8" t="s">
        <v>34</v>
      </c>
      <c r="M38" s="8" t="s">
        <v>34</v>
      </c>
      <c r="N38" s="9" t="s">
        <v>35</v>
      </c>
    </row>
    <row r="39" customFormat="false" ht="22.35" hidden="false" customHeight="false" outlineLevel="0" collapsed="false">
      <c r="A39" s="7" t="s">
        <v>12</v>
      </c>
      <c r="B39" s="7" t="s">
        <v>210</v>
      </c>
      <c r="C39" s="7" t="s">
        <v>156</v>
      </c>
      <c r="D39" s="7" t="s">
        <v>214</v>
      </c>
      <c r="E39" s="7" t="s">
        <v>131</v>
      </c>
      <c r="F39" s="7" t="s">
        <v>132</v>
      </c>
      <c r="G39" s="7" t="s">
        <v>215</v>
      </c>
      <c r="H39" s="7" t="s">
        <v>134</v>
      </c>
      <c r="I39" s="7" t="s">
        <v>135</v>
      </c>
      <c r="J39" s="8" t="s">
        <v>34</v>
      </c>
      <c r="K39" s="10" t="s">
        <v>41</v>
      </c>
      <c r="L39" s="8" t="s">
        <v>34</v>
      </c>
      <c r="M39" s="10" t="s">
        <v>41</v>
      </c>
      <c r="N39" s="9" t="s">
        <v>35</v>
      </c>
    </row>
    <row r="40" customFormat="false" ht="22.35" hidden="false" customHeight="false" outlineLevel="0" collapsed="false">
      <c r="A40" s="7" t="s">
        <v>12</v>
      </c>
      <c r="B40" s="7" t="s">
        <v>210</v>
      </c>
      <c r="C40" s="7" t="s">
        <v>216</v>
      </c>
      <c r="D40" s="7" t="s">
        <v>217</v>
      </c>
      <c r="E40" s="7" t="s">
        <v>161</v>
      </c>
      <c r="F40" s="7" t="s">
        <v>139</v>
      </c>
      <c r="G40" s="7" t="s">
        <v>218</v>
      </c>
      <c r="H40" s="7" t="s">
        <v>134</v>
      </c>
      <c r="I40" s="7" t="s">
        <v>135</v>
      </c>
      <c r="J40" s="8" t="s">
        <v>34</v>
      </c>
      <c r="K40" s="10" t="s">
        <v>41</v>
      </c>
      <c r="L40" s="10" t="s">
        <v>41</v>
      </c>
      <c r="M40" s="10" t="s">
        <v>41</v>
      </c>
      <c r="N40" s="9" t="s">
        <v>35</v>
      </c>
    </row>
    <row r="41" customFormat="false" ht="32.8" hidden="false" customHeight="false" outlineLevel="0" collapsed="false">
      <c r="A41" s="7" t="s">
        <v>12</v>
      </c>
      <c r="B41" s="7" t="s">
        <v>210</v>
      </c>
      <c r="C41" s="7" t="s">
        <v>219</v>
      </c>
      <c r="D41" s="7" t="s">
        <v>217</v>
      </c>
      <c r="E41" s="7" t="s">
        <v>220</v>
      </c>
      <c r="F41" s="7" t="s">
        <v>139</v>
      </c>
      <c r="G41" s="7" t="s">
        <v>221</v>
      </c>
      <c r="H41" s="7" t="s">
        <v>141</v>
      </c>
      <c r="I41" s="7" t="s">
        <v>222</v>
      </c>
      <c r="J41" s="8" t="s">
        <v>34</v>
      </c>
      <c r="K41" s="8" t="s">
        <v>34</v>
      </c>
      <c r="L41" s="10" t="s">
        <v>41</v>
      </c>
      <c r="M41" s="8" t="s">
        <v>34</v>
      </c>
      <c r="N41" s="9" t="s">
        <v>35</v>
      </c>
    </row>
    <row r="42" customFormat="false" ht="22.35" hidden="false" customHeight="false" outlineLevel="0" collapsed="false">
      <c r="A42" s="7" t="s">
        <v>12</v>
      </c>
      <c r="B42" s="7" t="s">
        <v>210</v>
      </c>
      <c r="C42" s="7" t="s">
        <v>223</v>
      </c>
      <c r="D42" s="7" t="s">
        <v>224</v>
      </c>
      <c r="E42" s="7" t="s">
        <v>180</v>
      </c>
      <c r="F42" s="7" t="s">
        <v>139</v>
      </c>
      <c r="G42" s="7" t="s">
        <v>225</v>
      </c>
      <c r="H42" s="7" t="s">
        <v>197</v>
      </c>
      <c r="I42" s="7" t="s">
        <v>226</v>
      </c>
      <c r="J42" s="8" t="s">
        <v>34</v>
      </c>
      <c r="K42" s="10" t="s">
        <v>41</v>
      </c>
      <c r="L42" s="8" t="s">
        <v>34</v>
      </c>
      <c r="M42" s="8" t="s">
        <v>34</v>
      </c>
      <c r="N42" s="9" t="s">
        <v>35</v>
      </c>
    </row>
    <row r="43" customFormat="false" ht="22.35" hidden="false" customHeight="false" outlineLevel="0" collapsed="false">
      <c r="A43" s="7" t="s">
        <v>12</v>
      </c>
      <c r="B43" s="7" t="s">
        <v>227</v>
      </c>
      <c r="C43" s="7" t="s">
        <v>228</v>
      </c>
      <c r="D43" s="7" t="s">
        <v>229</v>
      </c>
      <c r="E43" s="7" t="s">
        <v>131</v>
      </c>
      <c r="F43" s="7" t="s">
        <v>230</v>
      </c>
      <c r="G43" s="7" t="s">
        <v>231</v>
      </c>
      <c r="H43" s="7" t="s">
        <v>134</v>
      </c>
      <c r="I43" s="7" t="s">
        <v>135</v>
      </c>
      <c r="J43" s="8" t="s">
        <v>34</v>
      </c>
      <c r="K43" s="8" t="s">
        <v>34</v>
      </c>
      <c r="L43" s="8" t="s">
        <v>34</v>
      </c>
      <c r="M43" s="8" t="s">
        <v>34</v>
      </c>
      <c r="N43" s="9" t="s">
        <v>35</v>
      </c>
    </row>
    <row r="44" customFormat="false" ht="22.35" hidden="false" customHeight="false" outlineLevel="0" collapsed="false">
      <c r="A44" s="7" t="s">
        <v>12</v>
      </c>
      <c r="B44" s="7" t="s">
        <v>227</v>
      </c>
      <c r="C44" s="7" t="s">
        <v>232</v>
      </c>
      <c r="D44" s="7" t="s">
        <v>233</v>
      </c>
      <c r="E44" s="7" t="s">
        <v>161</v>
      </c>
      <c r="F44" s="7" t="s">
        <v>234</v>
      </c>
      <c r="G44" s="7" t="s">
        <v>235</v>
      </c>
      <c r="H44" s="7" t="s">
        <v>197</v>
      </c>
      <c r="I44" s="7" t="s">
        <v>135</v>
      </c>
      <c r="J44" s="8" t="s">
        <v>34</v>
      </c>
      <c r="K44" s="8" t="s">
        <v>34</v>
      </c>
      <c r="L44" s="10" t="s">
        <v>41</v>
      </c>
      <c r="M44" s="8" t="s">
        <v>34</v>
      </c>
      <c r="N44" s="9" t="s">
        <v>35</v>
      </c>
    </row>
    <row r="45" customFormat="false" ht="22.35" hidden="false" customHeight="false" outlineLevel="0" collapsed="false">
      <c r="A45" s="7" t="s">
        <v>12</v>
      </c>
      <c r="B45" s="7" t="s">
        <v>227</v>
      </c>
      <c r="C45" s="7" t="s">
        <v>236</v>
      </c>
      <c r="D45" s="7" t="s">
        <v>237</v>
      </c>
      <c r="E45" s="7" t="s">
        <v>138</v>
      </c>
      <c r="F45" s="7" t="s">
        <v>139</v>
      </c>
      <c r="G45" s="7" t="s">
        <v>238</v>
      </c>
      <c r="H45" s="7" t="s">
        <v>197</v>
      </c>
      <c r="I45" s="7" t="s">
        <v>135</v>
      </c>
      <c r="J45" s="8" t="s">
        <v>34</v>
      </c>
      <c r="K45" s="10" t="s">
        <v>41</v>
      </c>
      <c r="L45" s="10" t="s">
        <v>41</v>
      </c>
      <c r="M45" s="10" t="s">
        <v>41</v>
      </c>
      <c r="N45" s="9" t="s">
        <v>35</v>
      </c>
    </row>
    <row r="46" customFormat="false" ht="22.35" hidden="false" customHeight="false" outlineLevel="0" collapsed="false">
      <c r="A46" s="7" t="s">
        <v>12</v>
      </c>
      <c r="B46" s="7" t="s">
        <v>227</v>
      </c>
      <c r="C46" s="7" t="s">
        <v>239</v>
      </c>
      <c r="D46" s="7" t="s">
        <v>240</v>
      </c>
      <c r="E46" s="7" t="s">
        <v>180</v>
      </c>
      <c r="F46" s="7" t="s">
        <v>139</v>
      </c>
      <c r="G46" s="7" t="s">
        <v>241</v>
      </c>
      <c r="H46" s="7" t="s">
        <v>141</v>
      </c>
      <c r="I46" s="7" t="s">
        <v>135</v>
      </c>
      <c r="J46" s="8" t="s">
        <v>34</v>
      </c>
      <c r="K46" s="10" t="s">
        <v>41</v>
      </c>
      <c r="L46" s="8" t="s">
        <v>34</v>
      </c>
      <c r="M46" s="10" t="s">
        <v>41</v>
      </c>
      <c r="N46" s="9" t="s">
        <v>35</v>
      </c>
    </row>
    <row r="47" customFormat="false" ht="22.35" hidden="false" customHeight="false" outlineLevel="0" collapsed="false">
      <c r="A47" s="7" t="s">
        <v>12</v>
      </c>
      <c r="B47" s="7" t="s">
        <v>227</v>
      </c>
      <c r="C47" s="7" t="s">
        <v>242</v>
      </c>
      <c r="D47" s="7" t="s">
        <v>243</v>
      </c>
      <c r="E47" s="7" t="s">
        <v>244</v>
      </c>
      <c r="F47" s="7" t="s">
        <v>245</v>
      </c>
      <c r="G47" s="7" t="s">
        <v>246</v>
      </c>
      <c r="H47" s="7" t="s">
        <v>134</v>
      </c>
      <c r="I47" s="7" t="s">
        <v>135</v>
      </c>
      <c r="J47" s="8" t="s">
        <v>34</v>
      </c>
      <c r="K47" s="10" t="s">
        <v>41</v>
      </c>
      <c r="L47" s="10" t="s">
        <v>41</v>
      </c>
      <c r="M47" s="10" t="s">
        <v>41</v>
      </c>
      <c r="N47" s="9" t="s">
        <v>35</v>
      </c>
    </row>
    <row r="48" customFormat="false" ht="22.35" hidden="false" customHeight="false" outlineLevel="0" collapsed="false">
      <c r="A48" s="7" t="s">
        <v>12</v>
      </c>
      <c r="B48" s="7" t="s">
        <v>247</v>
      </c>
      <c r="C48" s="7" t="s">
        <v>248</v>
      </c>
      <c r="D48" s="7" t="s">
        <v>249</v>
      </c>
      <c r="E48" s="7" t="s">
        <v>131</v>
      </c>
      <c r="F48" s="7" t="s">
        <v>30</v>
      </c>
      <c r="G48" s="7" t="s">
        <v>250</v>
      </c>
      <c r="H48" s="7" t="s">
        <v>134</v>
      </c>
      <c r="I48" s="7" t="s">
        <v>135</v>
      </c>
      <c r="J48" s="8" t="s">
        <v>34</v>
      </c>
      <c r="K48" s="10" t="s">
        <v>41</v>
      </c>
      <c r="L48" s="8" t="s">
        <v>34</v>
      </c>
      <c r="M48" s="10" t="s">
        <v>41</v>
      </c>
      <c r="N48" s="9" t="s">
        <v>35</v>
      </c>
    </row>
    <row r="49" customFormat="false" ht="15" hidden="false" customHeight="false" outlineLevel="0" collapsed="false">
      <c r="A49" s="7" t="s">
        <v>12</v>
      </c>
      <c r="B49" s="7" t="s">
        <v>247</v>
      </c>
      <c r="C49" s="7" t="s">
        <v>251</v>
      </c>
      <c r="D49" s="7" t="s">
        <v>252</v>
      </c>
      <c r="E49" s="7" t="s">
        <v>131</v>
      </c>
      <c r="F49" s="7" t="s">
        <v>139</v>
      </c>
      <c r="G49" s="7" t="s">
        <v>253</v>
      </c>
      <c r="H49" s="7" t="s">
        <v>134</v>
      </c>
      <c r="I49" s="7" t="s">
        <v>135</v>
      </c>
      <c r="J49" s="8" t="s">
        <v>34</v>
      </c>
      <c r="K49" s="8" t="s">
        <v>34</v>
      </c>
      <c r="L49" s="8" t="s">
        <v>34</v>
      </c>
      <c r="M49" s="8" t="s">
        <v>34</v>
      </c>
      <c r="N49" s="9" t="s">
        <v>35</v>
      </c>
    </row>
    <row r="50" customFormat="false" ht="22.35" hidden="false" customHeight="false" outlineLevel="0" collapsed="false">
      <c r="A50" s="7" t="s">
        <v>12</v>
      </c>
      <c r="B50" s="7" t="s">
        <v>247</v>
      </c>
      <c r="C50" s="7" t="s">
        <v>254</v>
      </c>
      <c r="D50" s="7" t="s">
        <v>252</v>
      </c>
      <c r="E50" s="7" t="s">
        <v>161</v>
      </c>
      <c r="F50" s="7" t="s">
        <v>139</v>
      </c>
      <c r="G50" s="7" t="s">
        <v>255</v>
      </c>
      <c r="H50" s="7" t="s">
        <v>134</v>
      </c>
      <c r="I50" s="7" t="s">
        <v>135</v>
      </c>
      <c r="J50" s="8" t="s">
        <v>34</v>
      </c>
      <c r="K50" s="10" t="s">
        <v>41</v>
      </c>
      <c r="L50" s="10" t="s">
        <v>41</v>
      </c>
      <c r="M50" s="10" t="s">
        <v>41</v>
      </c>
      <c r="N50" s="9" t="s">
        <v>35</v>
      </c>
    </row>
    <row r="51" customFormat="false" ht="22.35" hidden="false" customHeight="false" outlineLevel="0" collapsed="false">
      <c r="A51" s="7" t="s">
        <v>12</v>
      </c>
      <c r="B51" s="7" t="s">
        <v>247</v>
      </c>
      <c r="C51" s="7" t="s">
        <v>256</v>
      </c>
      <c r="D51" s="7" t="s">
        <v>257</v>
      </c>
      <c r="E51" s="7" t="s">
        <v>258</v>
      </c>
      <c r="F51" s="7" t="s">
        <v>139</v>
      </c>
      <c r="G51" s="7" t="s">
        <v>259</v>
      </c>
      <c r="H51" s="7" t="s">
        <v>260</v>
      </c>
      <c r="I51" s="7" t="s">
        <v>135</v>
      </c>
      <c r="J51" s="8" t="s">
        <v>34</v>
      </c>
      <c r="K51" s="10" t="s">
        <v>41</v>
      </c>
      <c r="L51" s="10" t="s">
        <v>41</v>
      </c>
      <c r="M51" s="10" t="s">
        <v>41</v>
      </c>
      <c r="N51" s="9" t="s">
        <v>35</v>
      </c>
    </row>
    <row r="52" customFormat="false" ht="15" hidden="false" customHeight="false" outlineLevel="0" collapsed="false">
      <c r="A52" s="7" t="s">
        <v>12</v>
      </c>
      <c r="B52" s="7" t="s">
        <v>247</v>
      </c>
      <c r="C52" s="7" t="s">
        <v>261</v>
      </c>
      <c r="D52" s="7" t="s">
        <v>252</v>
      </c>
      <c r="E52" s="7" t="s">
        <v>262</v>
      </c>
      <c r="F52" s="7" t="s">
        <v>72</v>
      </c>
      <c r="G52" s="7" t="s">
        <v>263</v>
      </c>
      <c r="H52" s="7" t="s">
        <v>264</v>
      </c>
      <c r="I52" s="7" t="s">
        <v>135</v>
      </c>
      <c r="J52" s="8" t="s">
        <v>34</v>
      </c>
      <c r="K52" s="10" t="s">
        <v>41</v>
      </c>
      <c r="L52" s="11" t="s">
        <v>68</v>
      </c>
      <c r="M52" s="10" t="s">
        <v>41</v>
      </c>
      <c r="N52" s="9" t="s">
        <v>35</v>
      </c>
    </row>
    <row r="53" customFormat="false" ht="15" hidden="false" customHeight="false" outlineLevel="0" collapsed="false">
      <c r="A53" s="7" t="s">
        <v>12</v>
      </c>
      <c r="B53" s="7" t="s">
        <v>247</v>
      </c>
      <c r="C53" s="7" t="s">
        <v>265</v>
      </c>
      <c r="D53" s="7" t="s">
        <v>252</v>
      </c>
      <c r="E53" s="7" t="s">
        <v>180</v>
      </c>
      <c r="F53" s="7" t="s">
        <v>59</v>
      </c>
      <c r="G53" s="7" t="s">
        <v>266</v>
      </c>
      <c r="H53" s="7" t="s">
        <v>134</v>
      </c>
      <c r="I53" s="7" t="s">
        <v>135</v>
      </c>
      <c r="J53" s="8" t="s">
        <v>34</v>
      </c>
      <c r="K53" s="10" t="s">
        <v>41</v>
      </c>
      <c r="L53" s="8" t="s">
        <v>34</v>
      </c>
      <c r="M53" s="10" t="s">
        <v>41</v>
      </c>
      <c r="N53" s="9" t="s">
        <v>35</v>
      </c>
    </row>
    <row r="54" customFormat="false" ht="15" hidden="false" customHeight="false" outlineLevel="0" collapsed="false">
      <c r="A54" s="7" t="s">
        <v>12</v>
      </c>
      <c r="B54" s="7" t="s">
        <v>267</v>
      </c>
      <c r="C54" s="7" t="s">
        <v>268</v>
      </c>
      <c r="D54" s="7" t="s">
        <v>269</v>
      </c>
      <c r="E54" s="7" t="s">
        <v>131</v>
      </c>
      <c r="F54" s="7" t="s">
        <v>204</v>
      </c>
      <c r="G54" s="7" t="s">
        <v>270</v>
      </c>
      <c r="H54" s="7" t="s">
        <v>134</v>
      </c>
      <c r="I54" s="7" t="s">
        <v>135</v>
      </c>
      <c r="J54" s="8" t="s">
        <v>34</v>
      </c>
      <c r="K54" s="8" t="s">
        <v>34</v>
      </c>
      <c r="L54" s="8" t="s">
        <v>34</v>
      </c>
      <c r="M54" s="8" t="s">
        <v>34</v>
      </c>
      <c r="N54" s="9" t="s">
        <v>35</v>
      </c>
    </row>
    <row r="55" customFormat="false" ht="22.35" hidden="false" customHeight="false" outlineLevel="0" collapsed="false">
      <c r="A55" s="7" t="s">
        <v>12</v>
      </c>
      <c r="B55" s="7" t="s">
        <v>267</v>
      </c>
      <c r="C55" s="7" t="s">
        <v>271</v>
      </c>
      <c r="D55" s="7" t="s">
        <v>272</v>
      </c>
      <c r="E55" s="7" t="s">
        <v>131</v>
      </c>
      <c r="F55" s="7" t="s">
        <v>273</v>
      </c>
      <c r="G55" s="7" t="s">
        <v>274</v>
      </c>
      <c r="H55" s="7" t="s">
        <v>134</v>
      </c>
      <c r="I55" s="7" t="s">
        <v>135</v>
      </c>
      <c r="J55" s="8" t="s">
        <v>34</v>
      </c>
      <c r="K55" s="11" t="s">
        <v>68</v>
      </c>
      <c r="L55" s="8" t="s">
        <v>34</v>
      </c>
      <c r="M55" s="11" t="s">
        <v>68</v>
      </c>
      <c r="N55" s="9" t="s">
        <v>35</v>
      </c>
    </row>
    <row r="56" customFormat="false" ht="15" hidden="false" customHeight="false" outlineLevel="0" collapsed="false">
      <c r="A56" s="7" t="s">
        <v>12</v>
      </c>
      <c r="B56" s="7" t="s">
        <v>267</v>
      </c>
      <c r="C56" s="7" t="s">
        <v>156</v>
      </c>
      <c r="D56" s="7" t="s">
        <v>275</v>
      </c>
      <c r="E56" s="7" t="s">
        <v>131</v>
      </c>
      <c r="F56" s="7" t="s">
        <v>132</v>
      </c>
      <c r="G56" s="7" t="s">
        <v>276</v>
      </c>
      <c r="H56" s="7" t="s">
        <v>134</v>
      </c>
      <c r="I56" s="7" t="s">
        <v>135</v>
      </c>
      <c r="J56" s="8" t="s">
        <v>34</v>
      </c>
      <c r="K56" s="10" t="s">
        <v>41</v>
      </c>
      <c r="L56" s="8" t="s">
        <v>34</v>
      </c>
      <c r="M56" s="10" t="s">
        <v>41</v>
      </c>
      <c r="N56" s="9" t="s">
        <v>35</v>
      </c>
    </row>
    <row r="57" customFormat="false" ht="22.35" hidden="false" customHeight="false" outlineLevel="0" collapsed="false">
      <c r="A57" s="7" t="s">
        <v>12</v>
      </c>
      <c r="B57" s="7" t="s">
        <v>267</v>
      </c>
      <c r="C57" s="7" t="s">
        <v>277</v>
      </c>
      <c r="D57" s="7" t="s">
        <v>269</v>
      </c>
      <c r="E57" s="7" t="s">
        <v>180</v>
      </c>
      <c r="F57" s="7" t="s">
        <v>59</v>
      </c>
      <c r="G57" s="7" t="s">
        <v>278</v>
      </c>
      <c r="H57" s="7" t="s">
        <v>134</v>
      </c>
      <c r="I57" s="7" t="s">
        <v>135</v>
      </c>
      <c r="J57" s="8" t="s">
        <v>34</v>
      </c>
      <c r="K57" s="10" t="s">
        <v>41</v>
      </c>
      <c r="L57" s="8" t="s">
        <v>34</v>
      </c>
      <c r="M57" s="10" t="s">
        <v>41</v>
      </c>
      <c r="N57" s="9" t="s">
        <v>35</v>
      </c>
    </row>
    <row r="58" customFormat="false" ht="15" hidden="false" customHeight="false" outlineLevel="0" collapsed="false">
      <c r="A58" s="7" t="s">
        <v>12</v>
      </c>
      <c r="B58" s="7" t="s">
        <v>267</v>
      </c>
      <c r="C58" s="7" t="s">
        <v>279</v>
      </c>
      <c r="D58" s="7" t="s">
        <v>269</v>
      </c>
      <c r="E58" s="7" t="s">
        <v>52</v>
      </c>
      <c r="F58" s="7" t="s">
        <v>139</v>
      </c>
      <c r="G58" s="7" t="s">
        <v>280</v>
      </c>
      <c r="H58" s="7" t="s">
        <v>134</v>
      </c>
      <c r="I58" s="7" t="s">
        <v>135</v>
      </c>
      <c r="J58" s="10" t="s">
        <v>41</v>
      </c>
      <c r="K58" s="10" t="s">
        <v>41</v>
      </c>
      <c r="L58" s="10" t="s">
        <v>41</v>
      </c>
      <c r="M58" s="10" t="s">
        <v>41</v>
      </c>
      <c r="N58" s="9" t="s">
        <v>35</v>
      </c>
    </row>
    <row r="59" customFormat="false" ht="22.35" hidden="false" customHeight="false" outlineLevel="0" collapsed="false">
      <c r="A59" s="7" t="s">
        <v>12</v>
      </c>
      <c r="B59" s="7" t="s">
        <v>267</v>
      </c>
      <c r="C59" s="7" t="s">
        <v>281</v>
      </c>
      <c r="D59" s="7" t="s">
        <v>282</v>
      </c>
      <c r="E59" s="7" t="s">
        <v>220</v>
      </c>
      <c r="F59" s="7" t="s">
        <v>139</v>
      </c>
      <c r="G59" s="7" t="s">
        <v>283</v>
      </c>
      <c r="H59" s="7" t="s">
        <v>134</v>
      </c>
      <c r="I59" s="7" t="s">
        <v>135</v>
      </c>
      <c r="J59" s="8" t="s">
        <v>34</v>
      </c>
      <c r="K59" s="10" t="s">
        <v>41</v>
      </c>
      <c r="L59" s="10" t="s">
        <v>41</v>
      </c>
      <c r="M59" s="10" t="s">
        <v>41</v>
      </c>
      <c r="N59" s="9" t="s">
        <v>35</v>
      </c>
    </row>
    <row r="60" customFormat="false" ht="22.35" hidden="false" customHeight="false" outlineLevel="0" collapsed="false">
      <c r="A60" s="7" t="s">
        <v>12</v>
      </c>
      <c r="B60" s="7" t="s">
        <v>284</v>
      </c>
      <c r="C60" s="7" t="s">
        <v>156</v>
      </c>
      <c r="D60" s="7" t="s">
        <v>285</v>
      </c>
      <c r="E60" s="7" t="s">
        <v>131</v>
      </c>
      <c r="F60" s="7" t="s">
        <v>132</v>
      </c>
      <c r="G60" s="7" t="s">
        <v>286</v>
      </c>
      <c r="H60" s="7" t="s">
        <v>287</v>
      </c>
      <c r="I60" s="7" t="s">
        <v>135</v>
      </c>
      <c r="J60" s="8" t="s">
        <v>34</v>
      </c>
      <c r="K60" s="10" t="s">
        <v>41</v>
      </c>
      <c r="L60" s="8" t="s">
        <v>34</v>
      </c>
      <c r="M60" s="10" t="s">
        <v>41</v>
      </c>
      <c r="N60" s="9" t="s">
        <v>35</v>
      </c>
    </row>
    <row r="61" customFormat="false" ht="22.35" hidden="false" customHeight="false" outlineLevel="0" collapsed="false">
      <c r="A61" s="7" t="s">
        <v>12</v>
      </c>
      <c r="B61" s="7" t="s">
        <v>284</v>
      </c>
      <c r="C61" s="7" t="s">
        <v>288</v>
      </c>
      <c r="D61" s="7" t="s">
        <v>289</v>
      </c>
      <c r="E61" s="7" t="s">
        <v>131</v>
      </c>
      <c r="F61" s="7" t="s">
        <v>290</v>
      </c>
      <c r="G61" s="7" t="s">
        <v>291</v>
      </c>
      <c r="H61" s="7" t="s">
        <v>134</v>
      </c>
      <c r="I61" s="7" t="s">
        <v>135</v>
      </c>
      <c r="J61" s="8" t="s">
        <v>34</v>
      </c>
      <c r="K61" s="10" t="s">
        <v>41</v>
      </c>
      <c r="L61" s="8" t="s">
        <v>34</v>
      </c>
      <c r="M61" s="10" t="s">
        <v>41</v>
      </c>
      <c r="N61" s="9" t="s">
        <v>35</v>
      </c>
    </row>
    <row r="62" customFormat="false" ht="22.35" hidden="false" customHeight="false" outlineLevel="0" collapsed="false">
      <c r="A62" s="7" t="s">
        <v>12</v>
      </c>
      <c r="B62" s="7" t="s">
        <v>284</v>
      </c>
      <c r="C62" s="7" t="s">
        <v>292</v>
      </c>
      <c r="D62" s="7" t="s">
        <v>293</v>
      </c>
      <c r="E62" s="7" t="s">
        <v>294</v>
      </c>
      <c r="F62" s="7" t="s">
        <v>139</v>
      </c>
      <c r="G62" s="7" t="s">
        <v>295</v>
      </c>
      <c r="H62" s="7" t="s">
        <v>296</v>
      </c>
      <c r="I62" s="7" t="s">
        <v>297</v>
      </c>
      <c r="J62" s="8" t="s">
        <v>34</v>
      </c>
      <c r="K62" s="10" t="s">
        <v>41</v>
      </c>
      <c r="L62" s="10" t="s">
        <v>41</v>
      </c>
      <c r="M62" s="10" t="s">
        <v>41</v>
      </c>
      <c r="N62" s="9" t="s">
        <v>35</v>
      </c>
    </row>
    <row r="63" customFormat="false" ht="22.35" hidden="false" customHeight="false" outlineLevel="0" collapsed="false">
      <c r="A63" s="7" t="s">
        <v>12</v>
      </c>
      <c r="B63" s="7" t="s">
        <v>298</v>
      </c>
      <c r="C63" s="7" t="s">
        <v>299</v>
      </c>
      <c r="D63" s="7" t="s">
        <v>300</v>
      </c>
      <c r="E63" s="7" t="s">
        <v>131</v>
      </c>
      <c r="F63" s="7" t="s">
        <v>139</v>
      </c>
      <c r="G63" s="7" t="s">
        <v>301</v>
      </c>
      <c r="H63" s="7" t="s">
        <v>302</v>
      </c>
      <c r="I63" s="7" t="s">
        <v>135</v>
      </c>
      <c r="J63" s="8" t="s">
        <v>34</v>
      </c>
      <c r="K63" s="10" t="s">
        <v>41</v>
      </c>
      <c r="L63" s="8" t="s">
        <v>34</v>
      </c>
      <c r="M63" s="10" t="s">
        <v>41</v>
      </c>
      <c r="N63" s="9" t="s">
        <v>35</v>
      </c>
    </row>
    <row r="64" customFormat="false" ht="15" hidden="false" customHeight="false" outlineLevel="0" collapsed="false">
      <c r="A64" s="7" t="s">
        <v>12</v>
      </c>
      <c r="B64" s="7" t="s">
        <v>298</v>
      </c>
      <c r="C64" s="7" t="s">
        <v>156</v>
      </c>
      <c r="D64" s="7" t="s">
        <v>303</v>
      </c>
      <c r="E64" s="7" t="s">
        <v>131</v>
      </c>
      <c r="F64" s="7" t="s">
        <v>132</v>
      </c>
      <c r="G64" s="7" t="s">
        <v>304</v>
      </c>
      <c r="H64" s="7" t="s">
        <v>134</v>
      </c>
      <c r="I64" s="7" t="s">
        <v>135</v>
      </c>
      <c r="J64" s="8" t="s">
        <v>34</v>
      </c>
      <c r="K64" s="10" t="s">
        <v>41</v>
      </c>
      <c r="L64" s="8" t="s">
        <v>34</v>
      </c>
      <c r="M64" s="10" t="s">
        <v>41</v>
      </c>
      <c r="N64" s="9" t="s">
        <v>35</v>
      </c>
    </row>
    <row r="65" customFormat="false" ht="22.35" hidden="false" customHeight="false" outlineLevel="0" collapsed="false">
      <c r="A65" s="7" t="s">
        <v>12</v>
      </c>
      <c r="B65" s="7" t="s">
        <v>298</v>
      </c>
      <c r="C65" s="7" t="s">
        <v>305</v>
      </c>
      <c r="D65" s="7" t="s">
        <v>306</v>
      </c>
      <c r="E65" s="7" t="s">
        <v>307</v>
      </c>
      <c r="F65" s="7" t="s">
        <v>139</v>
      </c>
      <c r="G65" s="7" t="s">
        <v>308</v>
      </c>
      <c r="H65" s="7" t="s">
        <v>296</v>
      </c>
      <c r="I65" s="7" t="s">
        <v>309</v>
      </c>
      <c r="J65" s="8" t="s">
        <v>34</v>
      </c>
      <c r="K65" s="8" t="s">
        <v>34</v>
      </c>
      <c r="L65" s="10" t="s">
        <v>41</v>
      </c>
      <c r="M65" s="10" t="s">
        <v>41</v>
      </c>
      <c r="N65" s="9" t="s">
        <v>35</v>
      </c>
    </row>
    <row r="66" customFormat="false" ht="22.35" hidden="false" customHeight="false" outlineLevel="0" collapsed="false">
      <c r="A66" s="7" t="s">
        <v>12</v>
      </c>
      <c r="B66" s="7" t="s">
        <v>310</v>
      </c>
      <c r="C66" s="7" t="s">
        <v>311</v>
      </c>
      <c r="D66" s="7" t="s">
        <v>312</v>
      </c>
      <c r="E66" s="7" t="s">
        <v>131</v>
      </c>
      <c r="F66" s="7" t="s">
        <v>139</v>
      </c>
      <c r="G66" s="7" t="s">
        <v>313</v>
      </c>
      <c r="H66" s="7" t="s">
        <v>134</v>
      </c>
      <c r="I66" s="7" t="s">
        <v>314</v>
      </c>
      <c r="J66" s="8" t="s">
        <v>34</v>
      </c>
      <c r="K66" s="10" t="s">
        <v>41</v>
      </c>
      <c r="L66" s="8" t="s">
        <v>34</v>
      </c>
      <c r="M66" s="10" t="s">
        <v>41</v>
      </c>
      <c r="N66" s="9" t="s">
        <v>35</v>
      </c>
    </row>
    <row r="67" customFormat="false" ht="22.35" hidden="false" customHeight="false" outlineLevel="0" collapsed="false">
      <c r="A67" s="7" t="s">
        <v>12</v>
      </c>
      <c r="B67" s="7" t="s">
        <v>310</v>
      </c>
      <c r="C67" s="7" t="s">
        <v>315</v>
      </c>
      <c r="D67" s="7" t="s">
        <v>316</v>
      </c>
      <c r="E67" s="7" t="s">
        <v>131</v>
      </c>
      <c r="F67" s="7" t="s">
        <v>132</v>
      </c>
      <c r="G67" s="7" t="s">
        <v>317</v>
      </c>
      <c r="H67" s="7" t="s">
        <v>318</v>
      </c>
      <c r="I67" s="7" t="s">
        <v>135</v>
      </c>
      <c r="J67" s="8" t="s">
        <v>34</v>
      </c>
      <c r="K67" s="10" t="s">
        <v>41</v>
      </c>
      <c r="L67" s="8" t="s">
        <v>34</v>
      </c>
      <c r="M67" s="10" t="s">
        <v>41</v>
      </c>
      <c r="N67" s="9" t="s">
        <v>35</v>
      </c>
    </row>
    <row r="68" customFormat="false" ht="22.35" hidden="false" customHeight="false" outlineLevel="0" collapsed="false">
      <c r="A68" s="7" t="s">
        <v>12</v>
      </c>
      <c r="B68" s="7" t="s">
        <v>310</v>
      </c>
      <c r="C68" s="7" t="s">
        <v>319</v>
      </c>
      <c r="D68" s="7" t="s">
        <v>312</v>
      </c>
      <c r="E68" s="7" t="s">
        <v>161</v>
      </c>
      <c r="F68" s="7" t="s">
        <v>99</v>
      </c>
      <c r="G68" s="7" t="s">
        <v>320</v>
      </c>
      <c r="H68" s="7" t="s">
        <v>321</v>
      </c>
      <c r="I68" s="7" t="s">
        <v>322</v>
      </c>
      <c r="J68" s="8" t="s">
        <v>34</v>
      </c>
      <c r="K68" s="10" t="s">
        <v>41</v>
      </c>
      <c r="L68" s="10" t="s">
        <v>41</v>
      </c>
      <c r="M68" s="8" t="s">
        <v>34</v>
      </c>
      <c r="N68" s="9" t="s">
        <v>35</v>
      </c>
    </row>
    <row r="69" customFormat="false" ht="22.35" hidden="false" customHeight="false" outlineLevel="0" collapsed="false">
      <c r="A69" s="7" t="s">
        <v>12</v>
      </c>
      <c r="B69" s="7" t="s">
        <v>310</v>
      </c>
      <c r="C69" s="7" t="s">
        <v>323</v>
      </c>
      <c r="D69" s="7" t="s">
        <v>324</v>
      </c>
      <c r="E69" s="7" t="s">
        <v>325</v>
      </c>
      <c r="F69" s="7" t="s">
        <v>139</v>
      </c>
      <c r="G69" s="7" t="s">
        <v>326</v>
      </c>
      <c r="H69" s="7" t="s">
        <v>327</v>
      </c>
      <c r="I69" s="7" t="s">
        <v>328</v>
      </c>
      <c r="J69" s="8" t="s">
        <v>34</v>
      </c>
      <c r="K69" s="10" t="s">
        <v>41</v>
      </c>
      <c r="L69" s="10" t="s">
        <v>41</v>
      </c>
      <c r="M69" s="10" t="s">
        <v>41</v>
      </c>
      <c r="N69" s="9" t="s">
        <v>35</v>
      </c>
    </row>
    <row r="70" customFormat="false" ht="15" hidden="false" customHeight="false" outlineLevel="0" collapsed="false">
      <c r="A70" s="7" t="s">
        <v>12</v>
      </c>
      <c r="B70" s="7" t="s">
        <v>310</v>
      </c>
      <c r="C70" s="7" t="s">
        <v>329</v>
      </c>
      <c r="D70" s="7" t="s">
        <v>330</v>
      </c>
      <c r="E70" s="7" t="s">
        <v>180</v>
      </c>
      <c r="F70" s="7" t="s">
        <v>30</v>
      </c>
      <c r="G70" s="7" t="s">
        <v>331</v>
      </c>
      <c r="H70" s="7" t="s">
        <v>332</v>
      </c>
      <c r="I70" s="7" t="s">
        <v>333</v>
      </c>
      <c r="J70" s="8" t="s">
        <v>34</v>
      </c>
      <c r="K70" s="8" t="s">
        <v>34</v>
      </c>
      <c r="L70" s="8" t="s">
        <v>34</v>
      </c>
      <c r="M70" s="8" t="s">
        <v>34</v>
      </c>
      <c r="N70" s="9" t="s">
        <v>35</v>
      </c>
    </row>
    <row r="71" customFormat="false" ht="15" hidden="false" customHeight="false" outlineLevel="0" collapsed="false">
      <c r="A71" s="7" t="s">
        <v>12</v>
      </c>
      <c r="B71" s="7" t="s">
        <v>310</v>
      </c>
      <c r="C71" s="7" t="s">
        <v>334</v>
      </c>
      <c r="D71" s="7" t="s">
        <v>312</v>
      </c>
      <c r="E71" s="7" t="s">
        <v>52</v>
      </c>
      <c r="F71" s="7" t="s">
        <v>139</v>
      </c>
      <c r="G71" s="7" t="s">
        <v>335</v>
      </c>
      <c r="H71" s="7" t="s">
        <v>336</v>
      </c>
      <c r="I71" s="7" t="s">
        <v>337</v>
      </c>
      <c r="J71" s="10" t="s">
        <v>41</v>
      </c>
      <c r="K71" s="8" t="s">
        <v>34</v>
      </c>
      <c r="L71" s="10" t="s">
        <v>41</v>
      </c>
      <c r="M71" s="8" t="s">
        <v>34</v>
      </c>
      <c r="N71" s="9" t="s">
        <v>35</v>
      </c>
    </row>
    <row r="72" customFormat="false" ht="22.35" hidden="false" customHeight="false" outlineLevel="0" collapsed="false">
      <c r="A72" s="7" t="s">
        <v>12</v>
      </c>
      <c r="B72" s="7" t="s">
        <v>338</v>
      </c>
      <c r="C72" s="7" t="s">
        <v>315</v>
      </c>
      <c r="D72" s="7" t="s">
        <v>339</v>
      </c>
      <c r="E72" s="7" t="s">
        <v>131</v>
      </c>
      <c r="F72" s="7" t="s">
        <v>132</v>
      </c>
      <c r="G72" s="7" t="s">
        <v>340</v>
      </c>
      <c r="H72" s="7" t="s">
        <v>318</v>
      </c>
      <c r="I72" s="7" t="s">
        <v>341</v>
      </c>
      <c r="J72" s="8" t="s">
        <v>34</v>
      </c>
      <c r="K72" s="8" t="s">
        <v>34</v>
      </c>
      <c r="L72" s="8" t="s">
        <v>34</v>
      </c>
      <c r="M72" s="8" t="s">
        <v>34</v>
      </c>
      <c r="N72" s="9" t="s">
        <v>35</v>
      </c>
    </row>
    <row r="73" customFormat="false" ht="22.35" hidden="false" customHeight="false" outlineLevel="0" collapsed="false">
      <c r="A73" s="7" t="s">
        <v>12</v>
      </c>
      <c r="B73" s="7" t="s">
        <v>338</v>
      </c>
      <c r="C73" s="7" t="s">
        <v>342</v>
      </c>
      <c r="D73" s="7" t="s">
        <v>343</v>
      </c>
      <c r="E73" s="7" t="s">
        <v>131</v>
      </c>
      <c r="F73" s="7" t="s">
        <v>273</v>
      </c>
      <c r="G73" s="7" t="s">
        <v>344</v>
      </c>
      <c r="H73" s="7" t="s">
        <v>134</v>
      </c>
      <c r="I73" s="7" t="s">
        <v>135</v>
      </c>
      <c r="J73" s="8" t="s">
        <v>34</v>
      </c>
      <c r="K73" s="11" t="s">
        <v>68</v>
      </c>
      <c r="L73" s="8" t="s">
        <v>34</v>
      </c>
      <c r="M73" s="11" t="s">
        <v>68</v>
      </c>
      <c r="N73" s="9" t="s">
        <v>35</v>
      </c>
    </row>
    <row r="74" customFormat="false" ht="22.35" hidden="false" customHeight="false" outlineLevel="0" collapsed="false">
      <c r="A74" s="7" t="s">
        <v>12</v>
      </c>
      <c r="B74" s="7" t="s">
        <v>338</v>
      </c>
      <c r="C74" s="7" t="s">
        <v>345</v>
      </c>
      <c r="D74" s="7" t="s">
        <v>346</v>
      </c>
      <c r="E74" s="7" t="s">
        <v>347</v>
      </c>
      <c r="F74" s="7" t="s">
        <v>348</v>
      </c>
      <c r="G74" s="7" t="s">
        <v>349</v>
      </c>
      <c r="H74" s="7" t="s">
        <v>350</v>
      </c>
      <c r="I74" s="7" t="s">
        <v>135</v>
      </c>
      <c r="J74" s="10" t="s">
        <v>41</v>
      </c>
      <c r="K74" s="8" t="s">
        <v>34</v>
      </c>
      <c r="L74" s="10" t="s">
        <v>41</v>
      </c>
      <c r="M74" s="8" t="s">
        <v>34</v>
      </c>
      <c r="N74" s="9" t="s">
        <v>35</v>
      </c>
    </row>
    <row r="75" customFormat="false" ht="22.35" hidden="false" customHeight="false" outlineLevel="0" collapsed="false">
      <c r="A75" s="7" t="s">
        <v>12</v>
      </c>
      <c r="B75" s="7" t="s">
        <v>338</v>
      </c>
      <c r="C75" s="7" t="s">
        <v>351</v>
      </c>
      <c r="D75" s="7" t="s">
        <v>352</v>
      </c>
      <c r="E75" s="7" t="s">
        <v>353</v>
      </c>
      <c r="F75" s="7" t="s">
        <v>139</v>
      </c>
      <c r="G75" s="7" t="s">
        <v>354</v>
      </c>
      <c r="H75" s="7" t="s">
        <v>355</v>
      </c>
      <c r="I75" s="7" t="s">
        <v>356</v>
      </c>
      <c r="J75" s="8" t="s">
        <v>34</v>
      </c>
      <c r="K75" s="10" t="s">
        <v>41</v>
      </c>
      <c r="L75" s="10" t="s">
        <v>41</v>
      </c>
      <c r="M75" s="10" t="s">
        <v>41</v>
      </c>
      <c r="N75" s="9" t="s">
        <v>35</v>
      </c>
    </row>
    <row r="76" customFormat="false" ht="22.35" hidden="false" customHeight="false" outlineLevel="0" collapsed="false">
      <c r="A76" s="7" t="s">
        <v>12</v>
      </c>
      <c r="B76" s="7" t="s">
        <v>357</v>
      </c>
      <c r="C76" s="7" t="s">
        <v>156</v>
      </c>
      <c r="D76" s="7" t="s">
        <v>358</v>
      </c>
      <c r="E76" s="7" t="s">
        <v>131</v>
      </c>
      <c r="F76" s="7" t="s">
        <v>132</v>
      </c>
      <c r="G76" s="7" t="s">
        <v>359</v>
      </c>
      <c r="H76" s="7" t="s">
        <v>318</v>
      </c>
      <c r="I76" s="7" t="s">
        <v>360</v>
      </c>
      <c r="J76" s="8" t="s">
        <v>34</v>
      </c>
      <c r="K76" s="10" t="s">
        <v>41</v>
      </c>
      <c r="L76" s="8" t="s">
        <v>34</v>
      </c>
      <c r="M76" s="10" t="s">
        <v>41</v>
      </c>
      <c r="N76" s="9" t="s">
        <v>35</v>
      </c>
    </row>
    <row r="77" customFormat="false" ht="22.35" hidden="false" customHeight="false" outlineLevel="0" collapsed="false">
      <c r="A77" s="7" t="s">
        <v>12</v>
      </c>
      <c r="B77" s="7" t="s">
        <v>357</v>
      </c>
      <c r="C77" s="7" t="s">
        <v>351</v>
      </c>
      <c r="D77" s="7" t="s">
        <v>361</v>
      </c>
      <c r="E77" s="7" t="s">
        <v>353</v>
      </c>
      <c r="F77" s="7" t="s">
        <v>139</v>
      </c>
      <c r="G77" s="7" t="s">
        <v>362</v>
      </c>
      <c r="H77" s="7" t="s">
        <v>81</v>
      </c>
      <c r="I77" s="7" t="s">
        <v>363</v>
      </c>
      <c r="J77" s="8" t="s">
        <v>34</v>
      </c>
      <c r="K77" s="10" t="s">
        <v>41</v>
      </c>
      <c r="L77" s="10" t="s">
        <v>41</v>
      </c>
      <c r="M77" s="10" t="s">
        <v>41</v>
      </c>
      <c r="N77" s="9" t="s">
        <v>35</v>
      </c>
    </row>
    <row r="78" customFormat="false" ht="22.35" hidden="false" customHeight="false" outlineLevel="0" collapsed="false">
      <c r="A78" s="7" t="s">
        <v>12</v>
      </c>
      <c r="B78" s="7" t="s">
        <v>364</v>
      </c>
      <c r="C78" s="7" t="s">
        <v>365</v>
      </c>
      <c r="D78" s="7" t="s">
        <v>366</v>
      </c>
      <c r="E78" s="7" t="s">
        <v>131</v>
      </c>
      <c r="F78" s="7" t="s">
        <v>132</v>
      </c>
      <c r="G78" s="7" t="s">
        <v>367</v>
      </c>
      <c r="H78" s="7" t="s">
        <v>368</v>
      </c>
      <c r="I78" s="7" t="s">
        <v>369</v>
      </c>
      <c r="J78" s="8" t="s">
        <v>34</v>
      </c>
      <c r="K78" s="8" t="s">
        <v>34</v>
      </c>
      <c r="L78" s="8" t="s">
        <v>34</v>
      </c>
      <c r="M78" s="8" t="s">
        <v>34</v>
      </c>
      <c r="N78" s="9" t="s">
        <v>35</v>
      </c>
    </row>
    <row r="79" customFormat="false" ht="22.35" hidden="false" customHeight="false" outlineLevel="0" collapsed="false">
      <c r="A79" s="7" t="s">
        <v>12</v>
      </c>
      <c r="B79" s="7" t="s">
        <v>364</v>
      </c>
      <c r="C79" s="7" t="s">
        <v>370</v>
      </c>
      <c r="D79" s="7" t="s">
        <v>371</v>
      </c>
      <c r="E79" s="7" t="s">
        <v>372</v>
      </c>
      <c r="F79" s="7" t="s">
        <v>139</v>
      </c>
      <c r="G79" s="7" t="s">
        <v>373</v>
      </c>
      <c r="H79" s="7" t="s">
        <v>374</v>
      </c>
      <c r="I79" s="7" t="s">
        <v>375</v>
      </c>
      <c r="J79" s="8" t="s">
        <v>34</v>
      </c>
      <c r="K79" s="10" t="s">
        <v>41</v>
      </c>
      <c r="L79" s="8" t="s">
        <v>34</v>
      </c>
      <c r="M79" s="10" t="s">
        <v>41</v>
      </c>
      <c r="N79" s="9" t="s">
        <v>35</v>
      </c>
    </row>
    <row r="80" customFormat="false" ht="22.35" hidden="false" customHeight="false" outlineLevel="0" collapsed="false">
      <c r="A80" s="7" t="s">
        <v>12</v>
      </c>
      <c r="B80" s="7" t="s">
        <v>364</v>
      </c>
      <c r="C80" s="7" t="s">
        <v>376</v>
      </c>
      <c r="D80" s="7" t="s">
        <v>377</v>
      </c>
      <c r="E80" s="7" t="s">
        <v>131</v>
      </c>
      <c r="F80" s="7" t="s">
        <v>273</v>
      </c>
      <c r="G80" s="7" t="s">
        <v>378</v>
      </c>
      <c r="H80" s="7" t="s">
        <v>134</v>
      </c>
      <c r="I80" s="7" t="s">
        <v>135</v>
      </c>
      <c r="J80" s="8" t="s">
        <v>34</v>
      </c>
      <c r="K80" s="11" t="s">
        <v>68</v>
      </c>
      <c r="L80" s="8" t="s">
        <v>34</v>
      </c>
      <c r="M80" s="11" t="s">
        <v>68</v>
      </c>
      <c r="N80" s="9" t="s">
        <v>35</v>
      </c>
    </row>
    <row r="81" customFormat="false" ht="22.35" hidden="false" customHeight="false" outlineLevel="0" collapsed="false">
      <c r="A81" s="7" t="s">
        <v>12</v>
      </c>
      <c r="B81" s="7" t="s">
        <v>364</v>
      </c>
      <c r="C81" s="7" t="s">
        <v>379</v>
      </c>
      <c r="D81" s="7" t="s">
        <v>380</v>
      </c>
      <c r="E81" s="7" t="s">
        <v>381</v>
      </c>
      <c r="F81" s="7" t="s">
        <v>59</v>
      </c>
      <c r="G81" s="7" t="s">
        <v>382</v>
      </c>
      <c r="H81" s="7" t="s">
        <v>296</v>
      </c>
      <c r="I81" s="7" t="s">
        <v>383</v>
      </c>
      <c r="J81" s="8" t="s">
        <v>34</v>
      </c>
      <c r="K81" s="10" t="s">
        <v>41</v>
      </c>
      <c r="L81" s="10" t="s">
        <v>41</v>
      </c>
      <c r="M81" s="10" t="s">
        <v>41</v>
      </c>
      <c r="N81" s="9" t="s">
        <v>35</v>
      </c>
    </row>
    <row r="82" customFormat="false" ht="22.35" hidden="false" customHeight="false" outlineLevel="0" collapsed="false">
      <c r="A82" s="7" t="s">
        <v>12</v>
      </c>
      <c r="B82" s="7" t="s">
        <v>384</v>
      </c>
      <c r="C82" s="7" t="s">
        <v>385</v>
      </c>
      <c r="D82" s="7" t="s">
        <v>386</v>
      </c>
      <c r="E82" s="7" t="s">
        <v>131</v>
      </c>
      <c r="F82" s="7" t="s">
        <v>30</v>
      </c>
      <c r="G82" s="7" t="s">
        <v>387</v>
      </c>
      <c r="H82" s="7" t="s">
        <v>134</v>
      </c>
      <c r="I82" s="7" t="s">
        <v>388</v>
      </c>
      <c r="J82" s="8" t="s">
        <v>34</v>
      </c>
      <c r="K82" s="10" t="s">
        <v>41</v>
      </c>
      <c r="L82" s="8" t="s">
        <v>34</v>
      </c>
      <c r="M82" s="10" t="s">
        <v>41</v>
      </c>
      <c r="N82" s="9" t="s">
        <v>35</v>
      </c>
    </row>
    <row r="83" customFormat="false" ht="15" hidden="false" customHeight="false" outlineLevel="0" collapsed="false">
      <c r="A83" s="7" t="s">
        <v>12</v>
      </c>
      <c r="B83" s="7" t="s">
        <v>384</v>
      </c>
      <c r="C83" s="7" t="s">
        <v>156</v>
      </c>
      <c r="D83" s="7" t="s">
        <v>389</v>
      </c>
      <c r="E83" s="7" t="s">
        <v>131</v>
      </c>
      <c r="F83" s="7" t="s">
        <v>132</v>
      </c>
      <c r="G83" s="7" t="s">
        <v>390</v>
      </c>
      <c r="H83" s="7" t="s">
        <v>391</v>
      </c>
      <c r="I83" s="7" t="s">
        <v>392</v>
      </c>
      <c r="J83" s="8" t="s">
        <v>34</v>
      </c>
      <c r="K83" s="10" t="s">
        <v>41</v>
      </c>
      <c r="L83" s="8" t="s">
        <v>34</v>
      </c>
      <c r="M83" s="10" t="s">
        <v>41</v>
      </c>
      <c r="N83" s="9" t="s">
        <v>35</v>
      </c>
    </row>
    <row r="84" customFormat="false" ht="22.35" hidden="false" customHeight="false" outlineLevel="0" collapsed="false">
      <c r="A84" s="7" t="s">
        <v>12</v>
      </c>
      <c r="B84" s="7" t="s">
        <v>384</v>
      </c>
      <c r="C84" s="7" t="s">
        <v>351</v>
      </c>
      <c r="D84" s="7" t="s">
        <v>393</v>
      </c>
      <c r="E84" s="7" t="s">
        <v>353</v>
      </c>
      <c r="F84" s="7" t="s">
        <v>139</v>
      </c>
      <c r="G84" s="7" t="s">
        <v>394</v>
      </c>
      <c r="H84" s="7" t="s">
        <v>395</v>
      </c>
      <c r="I84" s="7" t="s">
        <v>396</v>
      </c>
      <c r="J84" s="8" t="s">
        <v>34</v>
      </c>
      <c r="K84" s="10" t="s">
        <v>41</v>
      </c>
      <c r="L84" s="10" t="s">
        <v>41</v>
      </c>
      <c r="M84" s="10" t="s">
        <v>41</v>
      </c>
      <c r="N84" s="9" t="s">
        <v>35</v>
      </c>
    </row>
    <row r="85" customFormat="false" ht="22.35" hidden="false" customHeight="false" outlineLevel="0" collapsed="false">
      <c r="A85" s="7" t="s">
        <v>12</v>
      </c>
      <c r="B85" s="7" t="s">
        <v>397</v>
      </c>
      <c r="C85" s="7" t="s">
        <v>398</v>
      </c>
      <c r="D85" s="7" t="s">
        <v>399</v>
      </c>
      <c r="E85" s="7" t="s">
        <v>131</v>
      </c>
      <c r="F85" s="7" t="s">
        <v>400</v>
      </c>
      <c r="G85" s="7" t="s">
        <v>401</v>
      </c>
      <c r="H85" s="7" t="s">
        <v>402</v>
      </c>
      <c r="I85" s="7" t="s">
        <v>403</v>
      </c>
      <c r="J85" s="8" t="s">
        <v>34</v>
      </c>
      <c r="K85" s="10" t="s">
        <v>41</v>
      </c>
      <c r="L85" s="8" t="s">
        <v>34</v>
      </c>
      <c r="M85" s="10" t="s">
        <v>41</v>
      </c>
      <c r="N85" s="9" t="s">
        <v>35</v>
      </c>
    </row>
    <row r="86" customFormat="false" ht="32.8" hidden="false" customHeight="false" outlineLevel="0" collapsed="false">
      <c r="A86" s="7" t="s">
        <v>12</v>
      </c>
      <c r="B86" s="7" t="s">
        <v>397</v>
      </c>
      <c r="C86" s="7" t="s">
        <v>404</v>
      </c>
      <c r="D86" s="7" t="s">
        <v>405</v>
      </c>
      <c r="E86" s="7" t="s">
        <v>406</v>
      </c>
      <c r="F86" s="7" t="s">
        <v>59</v>
      </c>
      <c r="G86" s="7" t="s">
        <v>407</v>
      </c>
      <c r="H86" s="7" t="s">
        <v>395</v>
      </c>
      <c r="I86" s="7" t="s">
        <v>408</v>
      </c>
      <c r="J86" s="8" t="s">
        <v>34</v>
      </c>
      <c r="K86" s="10" t="s">
        <v>41</v>
      </c>
      <c r="L86" s="10" t="s">
        <v>41</v>
      </c>
      <c r="M86" s="10" t="s">
        <v>41</v>
      </c>
      <c r="N86" s="9" t="s">
        <v>35</v>
      </c>
    </row>
    <row r="87" customFormat="false" ht="15" hidden="false" customHeight="false" outlineLevel="0" collapsed="false">
      <c r="A87" s="7" t="s">
        <v>12</v>
      </c>
      <c r="B87" s="7" t="s">
        <v>409</v>
      </c>
      <c r="C87" s="7" t="s">
        <v>156</v>
      </c>
      <c r="D87" s="7" t="s">
        <v>410</v>
      </c>
      <c r="E87" s="7" t="s">
        <v>131</v>
      </c>
      <c r="F87" s="7" t="s">
        <v>132</v>
      </c>
      <c r="G87" s="7" t="s">
        <v>411</v>
      </c>
      <c r="H87" s="7" t="s">
        <v>412</v>
      </c>
      <c r="I87" s="7" t="s">
        <v>135</v>
      </c>
      <c r="J87" s="8" t="s">
        <v>34</v>
      </c>
      <c r="K87" s="10" t="s">
        <v>41</v>
      </c>
      <c r="L87" s="8" t="s">
        <v>34</v>
      </c>
      <c r="M87" s="10" t="s">
        <v>41</v>
      </c>
      <c r="N87" s="9" t="s">
        <v>35</v>
      </c>
    </row>
    <row r="88" customFormat="false" ht="22.35" hidden="false" customHeight="false" outlineLevel="0" collapsed="false">
      <c r="A88" s="7" t="s">
        <v>12</v>
      </c>
      <c r="B88" s="7" t="s">
        <v>409</v>
      </c>
      <c r="C88" s="7" t="s">
        <v>413</v>
      </c>
      <c r="D88" s="7" t="s">
        <v>414</v>
      </c>
      <c r="E88" s="7" t="s">
        <v>372</v>
      </c>
      <c r="F88" s="7" t="s">
        <v>273</v>
      </c>
      <c r="G88" s="7" t="s">
        <v>415</v>
      </c>
      <c r="H88" s="7" t="s">
        <v>134</v>
      </c>
      <c r="I88" s="7" t="s">
        <v>135</v>
      </c>
      <c r="J88" s="8" t="s">
        <v>34</v>
      </c>
      <c r="K88" s="11" t="s">
        <v>68</v>
      </c>
      <c r="L88" s="8" t="s">
        <v>34</v>
      </c>
      <c r="M88" s="11" t="s">
        <v>68</v>
      </c>
      <c r="N88" s="9" t="s">
        <v>35</v>
      </c>
    </row>
    <row r="89" customFormat="false" ht="22.35" hidden="false" customHeight="false" outlineLevel="0" collapsed="false">
      <c r="A89" s="7" t="s">
        <v>12</v>
      </c>
      <c r="B89" s="7" t="s">
        <v>409</v>
      </c>
      <c r="C89" s="7" t="s">
        <v>416</v>
      </c>
      <c r="D89" s="7" t="s">
        <v>417</v>
      </c>
      <c r="E89" s="7" t="s">
        <v>372</v>
      </c>
      <c r="F89" s="7" t="s">
        <v>273</v>
      </c>
      <c r="G89" s="7" t="s">
        <v>418</v>
      </c>
      <c r="H89" s="7" t="s">
        <v>419</v>
      </c>
      <c r="I89" s="7" t="s">
        <v>135</v>
      </c>
      <c r="J89" s="8" t="s">
        <v>34</v>
      </c>
      <c r="K89" s="11" t="s">
        <v>68</v>
      </c>
      <c r="L89" s="8" t="s">
        <v>34</v>
      </c>
      <c r="M89" s="11" t="s">
        <v>68</v>
      </c>
      <c r="N89" s="9" t="s">
        <v>35</v>
      </c>
    </row>
    <row r="90" customFormat="false" ht="22.35" hidden="false" customHeight="false" outlineLevel="0" collapsed="false">
      <c r="A90" s="7" t="s">
        <v>12</v>
      </c>
      <c r="B90" s="7" t="s">
        <v>409</v>
      </c>
      <c r="C90" s="7" t="s">
        <v>420</v>
      </c>
      <c r="D90" s="7" t="s">
        <v>421</v>
      </c>
      <c r="E90" s="7" t="s">
        <v>422</v>
      </c>
      <c r="F90" s="7" t="s">
        <v>139</v>
      </c>
      <c r="G90" s="7" t="s">
        <v>407</v>
      </c>
      <c r="H90" s="7" t="s">
        <v>395</v>
      </c>
      <c r="I90" s="7" t="s">
        <v>423</v>
      </c>
      <c r="J90" s="8" t="s">
        <v>34</v>
      </c>
      <c r="K90" s="10" t="s">
        <v>41</v>
      </c>
      <c r="L90" s="10" t="s">
        <v>41</v>
      </c>
      <c r="M90" s="10" t="s">
        <v>41</v>
      </c>
      <c r="N90" s="9" t="s">
        <v>35</v>
      </c>
    </row>
    <row r="91" customFormat="false" ht="22.35" hidden="false" customHeight="false" outlineLevel="0" collapsed="false">
      <c r="A91" s="7" t="s">
        <v>12</v>
      </c>
      <c r="B91" s="7" t="s">
        <v>424</v>
      </c>
      <c r="C91" s="7" t="s">
        <v>156</v>
      </c>
      <c r="D91" s="7" t="s">
        <v>425</v>
      </c>
      <c r="E91" s="7" t="s">
        <v>131</v>
      </c>
      <c r="F91" s="7" t="s">
        <v>132</v>
      </c>
      <c r="G91" s="7" t="s">
        <v>426</v>
      </c>
      <c r="H91" s="7" t="s">
        <v>427</v>
      </c>
      <c r="I91" s="7" t="s">
        <v>428</v>
      </c>
      <c r="J91" s="8" t="s">
        <v>34</v>
      </c>
      <c r="K91" s="10" t="s">
        <v>41</v>
      </c>
      <c r="L91" s="8" t="s">
        <v>34</v>
      </c>
      <c r="M91" s="10" t="s">
        <v>41</v>
      </c>
      <c r="N91" s="9" t="s">
        <v>35</v>
      </c>
    </row>
    <row r="92" customFormat="false" ht="22.35" hidden="false" customHeight="false" outlineLevel="0" collapsed="false">
      <c r="A92" s="7" t="s">
        <v>12</v>
      </c>
      <c r="B92" s="7" t="s">
        <v>424</v>
      </c>
      <c r="C92" s="7" t="s">
        <v>429</v>
      </c>
      <c r="D92" s="7" t="s">
        <v>430</v>
      </c>
      <c r="E92" s="7" t="s">
        <v>431</v>
      </c>
      <c r="F92" s="7" t="s">
        <v>432</v>
      </c>
      <c r="G92" s="7" t="s">
        <v>433</v>
      </c>
      <c r="H92" s="7" t="s">
        <v>434</v>
      </c>
      <c r="I92" s="7" t="s">
        <v>135</v>
      </c>
      <c r="J92" s="8" t="s">
        <v>34</v>
      </c>
      <c r="K92" s="8" t="s">
        <v>34</v>
      </c>
      <c r="L92" s="10" t="s">
        <v>41</v>
      </c>
      <c r="M92" s="8" t="s">
        <v>34</v>
      </c>
      <c r="N92" s="9" t="s">
        <v>35</v>
      </c>
    </row>
    <row r="93" customFormat="false" ht="22.35" hidden="false" customHeight="false" outlineLevel="0" collapsed="false">
      <c r="A93" s="7" t="s">
        <v>12</v>
      </c>
      <c r="B93" s="7" t="s">
        <v>424</v>
      </c>
      <c r="C93" s="7" t="s">
        <v>435</v>
      </c>
      <c r="D93" s="7" t="s">
        <v>436</v>
      </c>
      <c r="E93" s="7" t="s">
        <v>437</v>
      </c>
      <c r="F93" s="7" t="s">
        <v>139</v>
      </c>
      <c r="G93" s="7" t="s">
        <v>438</v>
      </c>
      <c r="H93" s="7" t="s">
        <v>81</v>
      </c>
      <c r="I93" s="7" t="s">
        <v>439</v>
      </c>
      <c r="J93" s="8" t="s">
        <v>34</v>
      </c>
      <c r="K93" s="10" t="s">
        <v>41</v>
      </c>
      <c r="L93" s="10" t="s">
        <v>41</v>
      </c>
      <c r="M93" s="10" t="s">
        <v>41</v>
      </c>
      <c r="N93" s="9" t="s">
        <v>35</v>
      </c>
    </row>
    <row r="94" customFormat="false" ht="22.35" hidden="false" customHeight="false" outlineLevel="0" collapsed="false">
      <c r="A94" s="7" t="s">
        <v>12</v>
      </c>
      <c r="B94" s="7" t="s">
        <v>440</v>
      </c>
      <c r="C94" s="7" t="s">
        <v>441</v>
      </c>
      <c r="D94" s="7" t="s">
        <v>430</v>
      </c>
      <c r="E94" s="7" t="s">
        <v>442</v>
      </c>
      <c r="F94" s="7" t="s">
        <v>139</v>
      </c>
      <c r="G94" s="7" t="s">
        <v>443</v>
      </c>
      <c r="H94" s="7" t="s">
        <v>444</v>
      </c>
      <c r="I94" s="7" t="s">
        <v>135</v>
      </c>
      <c r="J94" s="8" t="s">
        <v>34</v>
      </c>
      <c r="K94" s="10" t="s">
        <v>41</v>
      </c>
      <c r="L94" s="10" t="s">
        <v>41</v>
      </c>
      <c r="M94" s="10" t="s">
        <v>41</v>
      </c>
      <c r="N94" s="9" t="s">
        <v>35</v>
      </c>
    </row>
    <row r="95" customFormat="false" ht="22.35" hidden="false" customHeight="false" outlineLevel="0" collapsed="false">
      <c r="A95" s="7" t="s">
        <v>12</v>
      </c>
      <c r="B95" s="7" t="s">
        <v>440</v>
      </c>
      <c r="C95" s="7" t="s">
        <v>445</v>
      </c>
      <c r="D95" s="7" t="s">
        <v>446</v>
      </c>
      <c r="E95" s="7" t="s">
        <v>353</v>
      </c>
      <c r="F95" s="7" t="s">
        <v>139</v>
      </c>
      <c r="G95" s="7" t="s">
        <v>447</v>
      </c>
      <c r="H95" s="7" t="s">
        <v>355</v>
      </c>
      <c r="I95" s="7" t="s">
        <v>448</v>
      </c>
      <c r="J95" s="8" t="s">
        <v>34</v>
      </c>
      <c r="K95" s="10" t="s">
        <v>41</v>
      </c>
      <c r="L95" s="10" t="s">
        <v>41</v>
      </c>
      <c r="M95" s="10" t="s">
        <v>41</v>
      </c>
      <c r="N95" s="9" t="s">
        <v>35</v>
      </c>
    </row>
    <row r="96" customFormat="false" ht="22.35" hidden="false" customHeight="false" outlineLevel="0" collapsed="false">
      <c r="A96" s="7" t="s">
        <v>12</v>
      </c>
      <c r="B96" s="7" t="s">
        <v>449</v>
      </c>
      <c r="C96" s="7" t="s">
        <v>450</v>
      </c>
      <c r="D96" s="7" t="s">
        <v>451</v>
      </c>
      <c r="E96" s="7" t="s">
        <v>131</v>
      </c>
      <c r="F96" s="7" t="s">
        <v>132</v>
      </c>
      <c r="G96" s="7" t="s">
        <v>452</v>
      </c>
      <c r="H96" s="7" t="s">
        <v>453</v>
      </c>
      <c r="I96" s="7" t="s">
        <v>454</v>
      </c>
      <c r="J96" s="8" t="s">
        <v>34</v>
      </c>
      <c r="K96" s="10" t="s">
        <v>41</v>
      </c>
      <c r="L96" s="8" t="s">
        <v>34</v>
      </c>
      <c r="M96" s="10" t="s">
        <v>41</v>
      </c>
      <c r="N96" s="9" t="s">
        <v>35</v>
      </c>
    </row>
    <row r="97" customFormat="false" ht="22.35" hidden="false" customHeight="false" outlineLevel="0" collapsed="false">
      <c r="A97" s="7" t="s">
        <v>12</v>
      </c>
      <c r="B97" s="7" t="s">
        <v>449</v>
      </c>
      <c r="C97" s="7" t="s">
        <v>429</v>
      </c>
      <c r="D97" s="7" t="s">
        <v>430</v>
      </c>
      <c r="E97" s="7" t="s">
        <v>455</v>
      </c>
      <c r="F97" s="7" t="s">
        <v>139</v>
      </c>
      <c r="G97" s="7" t="s">
        <v>456</v>
      </c>
      <c r="H97" s="7" t="s">
        <v>457</v>
      </c>
      <c r="I97" s="7" t="s">
        <v>135</v>
      </c>
      <c r="J97" s="8" t="s">
        <v>34</v>
      </c>
      <c r="K97" s="10" t="s">
        <v>41</v>
      </c>
      <c r="L97" s="10" t="s">
        <v>41</v>
      </c>
      <c r="M97" s="10" t="s">
        <v>41</v>
      </c>
      <c r="N97" s="9" t="s">
        <v>35</v>
      </c>
    </row>
    <row r="98" customFormat="false" ht="22.35" hidden="false" customHeight="false" outlineLevel="0" collapsed="false">
      <c r="A98" s="7" t="s">
        <v>12</v>
      </c>
      <c r="B98" s="7" t="s">
        <v>449</v>
      </c>
      <c r="C98" s="7" t="s">
        <v>458</v>
      </c>
      <c r="D98" s="7" t="s">
        <v>459</v>
      </c>
      <c r="E98" s="7" t="s">
        <v>437</v>
      </c>
      <c r="F98" s="7" t="s">
        <v>139</v>
      </c>
      <c r="G98" s="7" t="s">
        <v>460</v>
      </c>
      <c r="H98" s="7" t="s">
        <v>81</v>
      </c>
      <c r="I98" s="7" t="s">
        <v>461</v>
      </c>
      <c r="J98" s="8" t="s">
        <v>34</v>
      </c>
      <c r="K98" s="8" t="s">
        <v>34</v>
      </c>
      <c r="L98" s="10" t="s">
        <v>41</v>
      </c>
      <c r="M98" s="10" t="s">
        <v>41</v>
      </c>
      <c r="N98" s="9" t="s">
        <v>35</v>
      </c>
    </row>
    <row r="99" customFormat="false" ht="22.35" hidden="false" customHeight="false" outlineLevel="0" collapsed="false">
      <c r="A99" s="7" t="s">
        <v>12</v>
      </c>
      <c r="B99" s="7" t="s">
        <v>462</v>
      </c>
      <c r="C99" s="7" t="s">
        <v>463</v>
      </c>
      <c r="D99" s="7" t="s">
        <v>464</v>
      </c>
      <c r="E99" s="7" t="s">
        <v>131</v>
      </c>
      <c r="F99" s="7" t="s">
        <v>132</v>
      </c>
      <c r="G99" s="7" t="s">
        <v>465</v>
      </c>
      <c r="H99" s="7" t="s">
        <v>318</v>
      </c>
      <c r="I99" s="7" t="s">
        <v>135</v>
      </c>
      <c r="J99" s="8" t="s">
        <v>34</v>
      </c>
      <c r="K99" s="10" t="s">
        <v>41</v>
      </c>
      <c r="L99" s="8" t="s">
        <v>34</v>
      </c>
      <c r="M99" s="10" t="s">
        <v>41</v>
      </c>
      <c r="N99" s="9" t="s">
        <v>35</v>
      </c>
    </row>
    <row r="100" customFormat="false" ht="22.35" hidden="false" customHeight="false" outlineLevel="0" collapsed="false">
      <c r="A100" s="7" t="s">
        <v>12</v>
      </c>
      <c r="B100" s="7" t="s">
        <v>462</v>
      </c>
      <c r="C100" s="7" t="s">
        <v>466</v>
      </c>
      <c r="D100" s="7" t="s">
        <v>467</v>
      </c>
      <c r="E100" s="7" t="s">
        <v>468</v>
      </c>
      <c r="F100" s="7" t="s">
        <v>469</v>
      </c>
      <c r="G100" s="7" t="s">
        <v>470</v>
      </c>
      <c r="H100" s="7" t="s">
        <v>471</v>
      </c>
      <c r="I100" s="7" t="s">
        <v>135</v>
      </c>
      <c r="J100" s="8" t="s">
        <v>34</v>
      </c>
      <c r="K100" s="10" t="s">
        <v>41</v>
      </c>
      <c r="L100" s="11" t="s">
        <v>68</v>
      </c>
      <c r="M100" s="10" t="s">
        <v>41</v>
      </c>
      <c r="N100" s="9" t="s">
        <v>35</v>
      </c>
    </row>
    <row r="101" customFormat="false" ht="22.35" hidden="false" customHeight="false" outlineLevel="0" collapsed="false">
      <c r="A101" s="7" t="s">
        <v>12</v>
      </c>
      <c r="B101" s="7" t="s">
        <v>462</v>
      </c>
      <c r="C101" s="7" t="s">
        <v>472</v>
      </c>
      <c r="D101" s="7" t="s">
        <v>473</v>
      </c>
      <c r="E101" s="7" t="s">
        <v>131</v>
      </c>
      <c r="F101" s="7" t="s">
        <v>273</v>
      </c>
      <c r="G101" s="7" t="s">
        <v>474</v>
      </c>
      <c r="H101" s="7" t="s">
        <v>475</v>
      </c>
      <c r="I101" s="7" t="s">
        <v>135</v>
      </c>
      <c r="J101" s="8" t="s">
        <v>34</v>
      </c>
      <c r="K101" s="11" t="s">
        <v>68</v>
      </c>
      <c r="L101" s="8" t="s">
        <v>34</v>
      </c>
      <c r="M101" s="11" t="s">
        <v>68</v>
      </c>
      <c r="N101" s="9" t="s">
        <v>35</v>
      </c>
    </row>
    <row r="102" customFormat="false" ht="22.35" hidden="false" customHeight="false" outlineLevel="0" collapsed="false">
      <c r="A102" s="7" t="s">
        <v>12</v>
      </c>
      <c r="B102" s="7" t="s">
        <v>462</v>
      </c>
      <c r="C102" s="7" t="s">
        <v>476</v>
      </c>
      <c r="D102" s="7" t="s">
        <v>477</v>
      </c>
      <c r="E102" s="7" t="s">
        <v>478</v>
      </c>
      <c r="F102" s="7" t="s">
        <v>139</v>
      </c>
      <c r="G102" s="7" t="s">
        <v>479</v>
      </c>
      <c r="H102" s="7" t="s">
        <v>260</v>
      </c>
      <c r="I102" s="7" t="s">
        <v>135</v>
      </c>
      <c r="J102" s="8" t="s">
        <v>34</v>
      </c>
      <c r="K102" s="10" t="s">
        <v>41</v>
      </c>
      <c r="L102" s="10" t="s">
        <v>41</v>
      </c>
      <c r="M102" s="10" t="s">
        <v>41</v>
      </c>
      <c r="N102" s="9" t="s">
        <v>35</v>
      </c>
    </row>
    <row r="103" customFormat="false" ht="22.35" hidden="false" customHeight="false" outlineLevel="0" collapsed="false">
      <c r="A103" s="7" t="s">
        <v>12</v>
      </c>
      <c r="B103" s="7" t="s">
        <v>480</v>
      </c>
      <c r="C103" s="7" t="s">
        <v>481</v>
      </c>
      <c r="D103" s="7" t="s">
        <v>482</v>
      </c>
      <c r="E103" s="7" t="s">
        <v>131</v>
      </c>
      <c r="F103" s="7" t="s">
        <v>400</v>
      </c>
      <c r="G103" s="7" t="s">
        <v>483</v>
      </c>
      <c r="H103" s="7" t="s">
        <v>484</v>
      </c>
      <c r="I103" s="7" t="s">
        <v>135</v>
      </c>
      <c r="J103" s="8" t="s">
        <v>34</v>
      </c>
      <c r="K103" s="10" t="s">
        <v>41</v>
      </c>
      <c r="L103" s="8" t="s">
        <v>34</v>
      </c>
      <c r="M103" s="10" t="s">
        <v>41</v>
      </c>
      <c r="N103" s="9" t="s">
        <v>35</v>
      </c>
    </row>
    <row r="104" customFormat="false" ht="15" hidden="false" customHeight="false" outlineLevel="0" collapsed="false">
      <c r="A104" s="7" t="s">
        <v>12</v>
      </c>
      <c r="B104" s="7" t="s">
        <v>480</v>
      </c>
      <c r="C104" s="7" t="s">
        <v>485</v>
      </c>
      <c r="D104" s="7" t="s">
        <v>486</v>
      </c>
      <c r="E104" s="7" t="s">
        <v>52</v>
      </c>
      <c r="F104" s="7" t="s">
        <v>139</v>
      </c>
      <c r="G104" s="7" t="s">
        <v>487</v>
      </c>
      <c r="H104" s="7" t="s">
        <v>260</v>
      </c>
      <c r="I104" s="7" t="s">
        <v>135</v>
      </c>
      <c r="J104" s="10" t="s">
        <v>41</v>
      </c>
      <c r="K104" s="10" t="s">
        <v>41</v>
      </c>
      <c r="L104" s="10" t="s">
        <v>41</v>
      </c>
      <c r="M104" s="10" t="s">
        <v>41</v>
      </c>
      <c r="N104" s="9" t="s">
        <v>35</v>
      </c>
    </row>
    <row r="105" customFormat="false" ht="15" hidden="false" customHeight="false" outlineLevel="0" collapsed="false">
      <c r="A105" s="7" t="s">
        <v>12</v>
      </c>
      <c r="B105" s="7" t="s">
        <v>480</v>
      </c>
      <c r="C105" s="7" t="s">
        <v>488</v>
      </c>
      <c r="D105" s="7" t="s">
        <v>489</v>
      </c>
      <c r="E105" s="7" t="s">
        <v>220</v>
      </c>
      <c r="F105" s="7" t="s">
        <v>139</v>
      </c>
      <c r="G105" s="7" t="s">
        <v>490</v>
      </c>
      <c r="H105" s="7" t="s">
        <v>260</v>
      </c>
      <c r="I105" s="7" t="s">
        <v>135</v>
      </c>
      <c r="J105" s="8" t="s">
        <v>34</v>
      </c>
      <c r="K105" s="10" t="s">
        <v>41</v>
      </c>
      <c r="L105" s="10" t="s">
        <v>41</v>
      </c>
      <c r="M105" s="10" t="s">
        <v>41</v>
      </c>
      <c r="N105" s="9" t="s">
        <v>35</v>
      </c>
    </row>
    <row r="106" customFormat="false" ht="22.35" hidden="false" customHeight="false" outlineLevel="0" collapsed="false">
      <c r="A106" s="7" t="s">
        <v>12</v>
      </c>
      <c r="B106" s="7" t="s">
        <v>480</v>
      </c>
      <c r="C106" s="7" t="s">
        <v>491</v>
      </c>
      <c r="D106" s="7" t="s">
        <v>492</v>
      </c>
      <c r="E106" s="7" t="s">
        <v>203</v>
      </c>
      <c r="F106" s="7" t="s">
        <v>348</v>
      </c>
      <c r="G106" s="7" t="s">
        <v>493</v>
      </c>
      <c r="H106" s="7" t="s">
        <v>494</v>
      </c>
      <c r="I106" s="7" t="s">
        <v>135</v>
      </c>
      <c r="J106" s="10" t="s">
        <v>41</v>
      </c>
      <c r="K106" s="8" t="s">
        <v>34</v>
      </c>
      <c r="L106" s="11" t="s">
        <v>68</v>
      </c>
      <c r="M106" s="8" t="s">
        <v>34</v>
      </c>
      <c r="N106" s="9" t="s">
        <v>35</v>
      </c>
    </row>
    <row r="107" customFormat="false" ht="22.35" hidden="false" customHeight="false" outlineLevel="0" collapsed="false">
      <c r="A107" s="7" t="s">
        <v>12</v>
      </c>
      <c r="B107" s="7" t="s">
        <v>495</v>
      </c>
      <c r="C107" s="7" t="s">
        <v>496</v>
      </c>
      <c r="D107" s="7" t="s">
        <v>497</v>
      </c>
      <c r="E107" s="7" t="s">
        <v>131</v>
      </c>
      <c r="F107" s="7" t="s">
        <v>400</v>
      </c>
      <c r="G107" s="7" t="s">
        <v>498</v>
      </c>
      <c r="H107" s="7" t="s">
        <v>318</v>
      </c>
      <c r="I107" s="7" t="s">
        <v>499</v>
      </c>
      <c r="J107" s="8" t="s">
        <v>34</v>
      </c>
      <c r="K107" s="8" t="s">
        <v>34</v>
      </c>
      <c r="L107" s="8" t="s">
        <v>34</v>
      </c>
      <c r="M107" s="10" t="s">
        <v>41</v>
      </c>
      <c r="N107" s="9" t="s">
        <v>35</v>
      </c>
    </row>
    <row r="108" customFormat="false" ht="22.35" hidden="false" customHeight="false" outlineLevel="0" collapsed="false">
      <c r="A108" s="7" t="s">
        <v>12</v>
      </c>
      <c r="B108" s="7" t="s">
        <v>495</v>
      </c>
      <c r="C108" s="7" t="s">
        <v>500</v>
      </c>
      <c r="D108" s="7" t="s">
        <v>501</v>
      </c>
      <c r="E108" s="7" t="s">
        <v>131</v>
      </c>
      <c r="F108" s="7" t="s">
        <v>273</v>
      </c>
      <c r="G108" s="7" t="s">
        <v>502</v>
      </c>
      <c r="H108" s="7" t="s">
        <v>134</v>
      </c>
      <c r="I108" s="7" t="s">
        <v>135</v>
      </c>
      <c r="J108" s="8" t="s">
        <v>34</v>
      </c>
      <c r="K108" s="11" t="s">
        <v>68</v>
      </c>
      <c r="L108" s="8" t="s">
        <v>34</v>
      </c>
      <c r="M108" s="11" t="s">
        <v>68</v>
      </c>
      <c r="N108" s="9" t="s">
        <v>35</v>
      </c>
    </row>
    <row r="109" customFormat="false" ht="22.35" hidden="false" customHeight="false" outlineLevel="0" collapsed="false">
      <c r="A109" s="7" t="s">
        <v>12</v>
      </c>
      <c r="B109" s="7" t="s">
        <v>495</v>
      </c>
      <c r="C109" s="7" t="s">
        <v>503</v>
      </c>
      <c r="D109" s="7" t="s">
        <v>504</v>
      </c>
      <c r="E109" s="7" t="s">
        <v>505</v>
      </c>
      <c r="F109" s="7" t="s">
        <v>59</v>
      </c>
      <c r="G109" s="7" t="s">
        <v>506</v>
      </c>
      <c r="H109" s="7" t="s">
        <v>507</v>
      </c>
      <c r="I109" s="7" t="s">
        <v>135</v>
      </c>
      <c r="J109" s="8" t="s">
        <v>34</v>
      </c>
      <c r="K109" s="10" t="s">
        <v>41</v>
      </c>
      <c r="L109" s="10" t="s">
        <v>41</v>
      </c>
      <c r="M109" s="10" t="s">
        <v>41</v>
      </c>
      <c r="N109" s="9" t="s">
        <v>35</v>
      </c>
    </row>
    <row r="110" customFormat="false" ht="22.35" hidden="false" customHeight="false" outlineLevel="0" collapsed="false">
      <c r="A110" s="7" t="s">
        <v>12</v>
      </c>
      <c r="B110" s="7" t="s">
        <v>495</v>
      </c>
      <c r="C110" s="7" t="s">
        <v>508</v>
      </c>
      <c r="D110" s="7" t="s">
        <v>509</v>
      </c>
      <c r="E110" s="7" t="s">
        <v>138</v>
      </c>
      <c r="F110" s="7" t="s">
        <v>139</v>
      </c>
      <c r="G110" s="7" t="s">
        <v>510</v>
      </c>
      <c r="H110" s="7" t="s">
        <v>260</v>
      </c>
      <c r="I110" s="7" t="s">
        <v>135</v>
      </c>
      <c r="J110" s="8" t="s">
        <v>34</v>
      </c>
      <c r="K110" s="10" t="s">
        <v>41</v>
      </c>
      <c r="L110" s="10" t="s">
        <v>41</v>
      </c>
      <c r="M110" s="10" t="s">
        <v>41</v>
      </c>
      <c r="N110" s="9" t="s">
        <v>35</v>
      </c>
    </row>
    <row r="111" customFormat="false" ht="22.35" hidden="false" customHeight="false" outlineLevel="0" collapsed="false">
      <c r="A111" s="7" t="s">
        <v>12</v>
      </c>
      <c r="B111" s="7" t="s">
        <v>511</v>
      </c>
      <c r="C111" s="7" t="s">
        <v>512</v>
      </c>
      <c r="D111" s="7" t="s">
        <v>513</v>
      </c>
      <c r="E111" s="7" t="s">
        <v>131</v>
      </c>
      <c r="F111" s="7" t="s">
        <v>514</v>
      </c>
      <c r="G111" s="7" t="s">
        <v>515</v>
      </c>
      <c r="H111" s="7" t="s">
        <v>516</v>
      </c>
      <c r="I111" s="7" t="s">
        <v>135</v>
      </c>
      <c r="J111" s="8" t="s">
        <v>34</v>
      </c>
      <c r="K111" s="8" t="s">
        <v>34</v>
      </c>
      <c r="L111" s="8" t="s">
        <v>34</v>
      </c>
      <c r="M111" s="8" t="s">
        <v>34</v>
      </c>
      <c r="N111" s="9" t="s">
        <v>35</v>
      </c>
    </row>
    <row r="112" customFormat="false" ht="22.35" hidden="false" customHeight="false" outlineLevel="0" collapsed="false">
      <c r="A112" s="7" t="s">
        <v>12</v>
      </c>
      <c r="B112" s="7" t="s">
        <v>511</v>
      </c>
      <c r="C112" s="7" t="s">
        <v>517</v>
      </c>
      <c r="D112" s="7" t="s">
        <v>513</v>
      </c>
      <c r="E112" s="7" t="s">
        <v>131</v>
      </c>
      <c r="F112" s="7" t="s">
        <v>518</v>
      </c>
      <c r="G112" s="7" t="s">
        <v>519</v>
      </c>
      <c r="H112" s="7" t="s">
        <v>81</v>
      </c>
      <c r="I112" s="7" t="s">
        <v>135</v>
      </c>
      <c r="J112" s="8" t="s">
        <v>34</v>
      </c>
      <c r="K112" s="10" t="s">
        <v>41</v>
      </c>
      <c r="L112" s="8" t="s">
        <v>34</v>
      </c>
      <c r="M112" s="10" t="s">
        <v>41</v>
      </c>
      <c r="N112" s="9" t="s">
        <v>35</v>
      </c>
    </row>
    <row r="113" customFormat="false" ht="22.35" hidden="false" customHeight="false" outlineLevel="0" collapsed="false">
      <c r="A113" s="7" t="s">
        <v>12</v>
      </c>
      <c r="B113" s="7" t="s">
        <v>511</v>
      </c>
      <c r="C113" s="7" t="s">
        <v>520</v>
      </c>
      <c r="D113" s="7" t="s">
        <v>521</v>
      </c>
      <c r="E113" s="7" t="s">
        <v>372</v>
      </c>
      <c r="F113" s="7" t="s">
        <v>139</v>
      </c>
      <c r="G113" s="7" t="s">
        <v>522</v>
      </c>
      <c r="H113" s="7" t="s">
        <v>523</v>
      </c>
      <c r="I113" s="7" t="s">
        <v>135</v>
      </c>
      <c r="J113" s="8" t="s">
        <v>34</v>
      </c>
      <c r="K113" s="10" t="s">
        <v>41</v>
      </c>
      <c r="L113" s="8" t="s">
        <v>34</v>
      </c>
      <c r="M113" s="10" t="s">
        <v>41</v>
      </c>
      <c r="N113" s="9" t="s">
        <v>35</v>
      </c>
    </row>
    <row r="114" customFormat="false" ht="15" hidden="false" customHeight="false" outlineLevel="0" collapsed="false">
      <c r="A114" s="7" t="s">
        <v>12</v>
      </c>
      <c r="B114" s="7" t="s">
        <v>511</v>
      </c>
      <c r="C114" s="7" t="s">
        <v>524</v>
      </c>
      <c r="D114" s="7" t="s">
        <v>525</v>
      </c>
      <c r="E114" s="7" t="s">
        <v>161</v>
      </c>
      <c r="F114" s="7" t="s">
        <v>348</v>
      </c>
      <c r="G114" s="7" t="s">
        <v>526</v>
      </c>
      <c r="H114" s="7" t="s">
        <v>134</v>
      </c>
      <c r="I114" s="7" t="s">
        <v>527</v>
      </c>
      <c r="J114" s="8" t="s">
        <v>34</v>
      </c>
      <c r="K114" s="8" t="s">
        <v>34</v>
      </c>
      <c r="L114" s="10" t="s">
        <v>41</v>
      </c>
      <c r="M114" s="8" t="s">
        <v>34</v>
      </c>
      <c r="N114" s="9" t="s">
        <v>35</v>
      </c>
    </row>
    <row r="115" customFormat="false" ht="22.35" hidden="false" customHeight="false" outlineLevel="0" collapsed="false">
      <c r="A115" s="7" t="s">
        <v>12</v>
      </c>
      <c r="B115" s="7" t="s">
        <v>511</v>
      </c>
      <c r="C115" s="7" t="s">
        <v>528</v>
      </c>
      <c r="D115" s="7" t="s">
        <v>529</v>
      </c>
      <c r="E115" s="7" t="s">
        <v>180</v>
      </c>
      <c r="F115" s="7" t="s">
        <v>139</v>
      </c>
      <c r="G115" s="7" t="s">
        <v>530</v>
      </c>
      <c r="H115" s="7" t="s">
        <v>141</v>
      </c>
      <c r="I115" s="7" t="s">
        <v>531</v>
      </c>
      <c r="J115" s="8" t="s">
        <v>34</v>
      </c>
      <c r="K115" s="10" t="s">
        <v>41</v>
      </c>
      <c r="L115" s="8" t="s">
        <v>34</v>
      </c>
      <c r="M115" s="10" t="s">
        <v>41</v>
      </c>
      <c r="N115" s="9" t="s">
        <v>35</v>
      </c>
    </row>
    <row r="116" customFormat="false" ht="22.35" hidden="false" customHeight="false" outlineLevel="0" collapsed="false">
      <c r="A116" s="7" t="s">
        <v>12</v>
      </c>
      <c r="B116" s="7" t="s">
        <v>511</v>
      </c>
      <c r="C116" s="7" t="s">
        <v>532</v>
      </c>
      <c r="D116" s="7" t="s">
        <v>521</v>
      </c>
      <c r="E116" s="7" t="s">
        <v>52</v>
      </c>
      <c r="F116" s="7" t="s">
        <v>139</v>
      </c>
      <c r="G116" s="7" t="s">
        <v>533</v>
      </c>
      <c r="H116" s="7" t="s">
        <v>534</v>
      </c>
      <c r="I116" s="7" t="s">
        <v>135</v>
      </c>
      <c r="J116" s="10" t="s">
        <v>41</v>
      </c>
      <c r="K116" s="10" t="s">
        <v>41</v>
      </c>
      <c r="L116" s="10" t="s">
        <v>41</v>
      </c>
      <c r="M116" s="10" t="s">
        <v>41</v>
      </c>
      <c r="N116" s="9" t="s">
        <v>35</v>
      </c>
    </row>
    <row r="117" customFormat="false" ht="15" hidden="false" customHeight="false" outlineLevel="0" collapsed="false">
      <c r="A117" s="7" t="s">
        <v>12</v>
      </c>
      <c r="B117" s="7" t="s">
        <v>535</v>
      </c>
      <c r="C117" s="7" t="s">
        <v>536</v>
      </c>
      <c r="D117" s="7" t="s">
        <v>537</v>
      </c>
      <c r="E117" s="7" t="s">
        <v>131</v>
      </c>
      <c r="F117" s="7" t="s">
        <v>139</v>
      </c>
      <c r="G117" s="7" t="s">
        <v>538</v>
      </c>
      <c r="H117" s="7" t="s">
        <v>134</v>
      </c>
      <c r="I117" s="7" t="s">
        <v>135</v>
      </c>
      <c r="J117" s="8" t="s">
        <v>34</v>
      </c>
      <c r="K117" s="10" t="s">
        <v>41</v>
      </c>
      <c r="L117" s="8" t="s">
        <v>34</v>
      </c>
      <c r="M117" s="10" t="s">
        <v>41</v>
      </c>
      <c r="N117" s="9" t="s">
        <v>35</v>
      </c>
    </row>
    <row r="118" customFormat="false" ht="22.35" hidden="false" customHeight="false" outlineLevel="0" collapsed="false">
      <c r="A118" s="7" t="s">
        <v>12</v>
      </c>
      <c r="B118" s="7" t="s">
        <v>535</v>
      </c>
      <c r="C118" s="7" t="s">
        <v>539</v>
      </c>
      <c r="D118" s="7" t="s">
        <v>537</v>
      </c>
      <c r="E118" s="7" t="s">
        <v>220</v>
      </c>
      <c r="F118" s="7" t="s">
        <v>139</v>
      </c>
      <c r="G118" s="7" t="s">
        <v>540</v>
      </c>
      <c r="H118" s="7" t="s">
        <v>134</v>
      </c>
      <c r="I118" s="7" t="s">
        <v>135</v>
      </c>
      <c r="J118" s="8" t="s">
        <v>34</v>
      </c>
      <c r="K118" s="10" t="s">
        <v>41</v>
      </c>
      <c r="L118" s="10" t="s">
        <v>41</v>
      </c>
      <c r="M118" s="10" t="s">
        <v>41</v>
      </c>
      <c r="N118" s="9" t="s">
        <v>35</v>
      </c>
    </row>
    <row r="119" customFormat="false" ht="22.35" hidden="false" customHeight="false" outlineLevel="0" collapsed="false">
      <c r="A119" s="7" t="s">
        <v>12</v>
      </c>
      <c r="B119" s="7" t="s">
        <v>535</v>
      </c>
      <c r="C119" s="7" t="s">
        <v>541</v>
      </c>
      <c r="D119" s="7" t="s">
        <v>537</v>
      </c>
      <c r="E119" s="7" t="s">
        <v>542</v>
      </c>
      <c r="F119" s="7" t="s">
        <v>139</v>
      </c>
      <c r="G119" s="7" t="s">
        <v>543</v>
      </c>
      <c r="H119" s="7" t="s">
        <v>134</v>
      </c>
      <c r="I119" s="7" t="s">
        <v>135</v>
      </c>
      <c r="J119" s="8" t="s">
        <v>34</v>
      </c>
      <c r="K119" s="10" t="s">
        <v>41</v>
      </c>
      <c r="L119" s="11" t="s">
        <v>68</v>
      </c>
      <c r="M119" s="10" t="s">
        <v>41</v>
      </c>
      <c r="N119" s="9" t="s">
        <v>35</v>
      </c>
    </row>
    <row r="120" customFormat="false" ht="22.35" hidden="false" customHeight="false" outlineLevel="0" collapsed="false">
      <c r="A120" s="7" t="s">
        <v>12</v>
      </c>
      <c r="B120" s="7" t="s">
        <v>535</v>
      </c>
      <c r="C120" s="7" t="s">
        <v>544</v>
      </c>
      <c r="D120" s="7" t="s">
        <v>537</v>
      </c>
      <c r="E120" s="7" t="s">
        <v>545</v>
      </c>
      <c r="F120" s="7" t="s">
        <v>59</v>
      </c>
      <c r="G120" s="7" t="s">
        <v>546</v>
      </c>
      <c r="H120" s="7" t="s">
        <v>547</v>
      </c>
      <c r="I120" s="7" t="s">
        <v>135</v>
      </c>
      <c r="J120" s="8" t="s">
        <v>34</v>
      </c>
      <c r="K120" s="10" t="s">
        <v>41</v>
      </c>
      <c r="L120" s="10" t="s">
        <v>41</v>
      </c>
      <c r="M120" s="10" t="s">
        <v>41</v>
      </c>
      <c r="N120" s="9" t="s">
        <v>35</v>
      </c>
    </row>
    <row r="121" customFormat="false" ht="22.35" hidden="false" customHeight="false" outlineLevel="0" collapsed="false">
      <c r="A121" s="7" t="s">
        <v>12</v>
      </c>
      <c r="B121" s="7" t="s">
        <v>548</v>
      </c>
      <c r="C121" s="7" t="s">
        <v>549</v>
      </c>
      <c r="D121" s="7" t="s">
        <v>550</v>
      </c>
      <c r="E121" s="7" t="s">
        <v>131</v>
      </c>
      <c r="F121" s="7" t="s">
        <v>204</v>
      </c>
      <c r="G121" s="7" t="s">
        <v>551</v>
      </c>
      <c r="H121" s="7" t="s">
        <v>552</v>
      </c>
      <c r="I121" s="7" t="s">
        <v>135</v>
      </c>
      <c r="J121" s="8" t="s">
        <v>34</v>
      </c>
      <c r="K121" s="8" t="s">
        <v>34</v>
      </c>
      <c r="L121" s="8" t="s">
        <v>34</v>
      </c>
      <c r="M121" s="8" t="s">
        <v>34</v>
      </c>
      <c r="N121" s="9" t="s">
        <v>35</v>
      </c>
    </row>
    <row r="122" customFormat="false" ht="22.35" hidden="false" customHeight="false" outlineLevel="0" collapsed="false">
      <c r="A122" s="7" t="s">
        <v>12</v>
      </c>
      <c r="B122" s="7" t="s">
        <v>548</v>
      </c>
      <c r="C122" s="7" t="s">
        <v>553</v>
      </c>
      <c r="D122" s="7" t="s">
        <v>550</v>
      </c>
      <c r="E122" s="7" t="s">
        <v>161</v>
      </c>
      <c r="F122" s="7" t="s">
        <v>139</v>
      </c>
      <c r="G122" s="7" t="s">
        <v>554</v>
      </c>
      <c r="H122" s="7" t="s">
        <v>552</v>
      </c>
      <c r="I122" s="7" t="s">
        <v>135</v>
      </c>
      <c r="J122" s="8" t="s">
        <v>34</v>
      </c>
      <c r="K122" s="10" t="s">
        <v>41</v>
      </c>
      <c r="L122" s="10" t="s">
        <v>41</v>
      </c>
      <c r="M122" s="10" t="s">
        <v>41</v>
      </c>
      <c r="N122" s="9" t="s">
        <v>35</v>
      </c>
    </row>
    <row r="123" customFormat="false" ht="22.35" hidden="false" customHeight="false" outlineLevel="0" collapsed="false">
      <c r="A123" s="7" t="s">
        <v>12</v>
      </c>
      <c r="B123" s="7" t="s">
        <v>548</v>
      </c>
      <c r="C123" s="7" t="s">
        <v>555</v>
      </c>
      <c r="D123" s="7" t="s">
        <v>556</v>
      </c>
      <c r="E123" s="7" t="s">
        <v>138</v>
      </c>
      <c r="F123" s="7" t="s">
        <v>139</v>
      </c>
      <c r="G123" s="7" t="s">
        <v>557</v>
      </c>
      <c r="H123" s="7" t="s">
        <v>260</v>
      </c>
      <c r="I123" s="7" t="s">
        <v>135</v>
      </c>
      <c r="J123" s="8" t="s">
        <v>34</v>
      </c>
      <c r="K123" s="10" t="s">
        <v>41</v>
      </c>
      <c r="L123" s="10" t="s">
        <v>41</v>
      </c>
      <c r="M123" s="10" t="s">
        <v>41</v>
      </c>
      <c r="N123" s="9" t="s">
        <v>35</v>
      </c>
    </row>
    <row r="124" customFormat="false" ht="22.35" hidden="false" customHeight="false" outlineLevel="0" collapsed="false">
      <c r="A124" s="7" t="s">
        <v>12</v>
      </c>
      <c r="B124" s="7" t="s">
        <v>548</v>
      </c>
      <c r="C124" s="7" t="s">
        <v>351</v>
      </c>
      <c r="D124" s="7" t="s">
        <v>558</v>
      </c>
      <c r="E124" s="7" t="s">
        <v>559</v>
      </c>
      <c r="F124" s="7" t="s">
        <v>139</v>
      </c>
      <c r="G124" s="7" t="s">
        <v>560</v>
      </c>
      <c r="H124" s="7" t="s">
        <v>547</v>
      </c>
      <c r="I124" s="7" t="s">
        <v>135</v>
      </c>
      <c r="J124" s="8" t="s">
        <v>34</v>
      </c>
      <c r="K124" s="10" t="s">
        <v>41</v>
      </c>
      <c r="L124" s="10" t="s">
        <v>41</v>
      </c>
      <c r="M124" s="10" t="s">
        <v>41</v>
      </c>
      <c r="N124" s="9" t="s">
        <v>35</v>
      </c>
    </row>
    <row r="125" customFormat="false" ht="15" hidden="false" customHeight="false" outlineLevel="0" collapsed="false">
      <c r="A125" s="7" t="s">
        <v>12</v>
      </c>
      <c r="B125" s="7" t="s">
        <v>548</v>
      </c>
      <c r="C125" s="7" t="s">
        <v>561</v>
      </c>
      <c r="D125" s="7" t="s">
        <v>550</v>
      </c>
      <c r="E125" s="7" t="s">
        <v>203</v>
      </c>
      <c r="F125" s="7" t="s">
        <v>348</v>
      </c>
      <c r="G125" s="7" t="s">
        <v>562</v>
      </c>
      <c r="H125" s="7" t="s">
        <v>563</v>
      </c>
      <c r="I125" s="7" t="s">
        <v>135</v>
      </c>
      <c r="J125" s="10" t="s">
        <v>41</v>
      </c>
      <c r="K125" s="8" t="s">
        <v>34</v>
      </c>
      <c r="L125" s="11" t="s">
        <v>68</v>
      </c>
      <c r="M125" s="8" t="s">
        <v>34</v>
      </c>
      <c r="N125" s="9" t="s">
        <v>35</v>
      </c>
    </row>
    <row r="126" customFormat="false" ht="15" hidden="false" customHeight="false" outlineLevel="0" collapsed="false">
      <c r="A126" s="7" t="s">
        <v>12</v>
      </c>
      <c r="B126" s="7" t="s">
        <v>548</v>
      </c>
      <c r="C126" s="7" t="s">
        <v>564</v>
      </c>
      <c r="D126" s="7" t="s">
        <v>565</v>
      </c>
      <c r="E126" s="7" t="s">
        <v>131</v>
      </c>
      <c r="F126" s="7" t="s">
        <v>273</v>
      </c>
      <c r="G126" s="7" t="s">
        <v>566</v>
      </c>
      <c r="H126" s="7" t="s">
        <v>134</v>
      </c>
      <c r="I126" s="7" t="s">
        <v>135</v>
      </c>
      <c r="J126" s="8" t="s">
        <v>34</v>
      </c>
      <c r="K126" s="11" t="s">
        <v>68</v>
      </c>
      <c r="L126" s="8" t="s">
        <v>34</v>
      </c>
      <c r="M126" s="11" t="s">
        <v>68</v>
      </c>
      <c r="N126" s="9" t="s">
        <v>35</v>
      </c>
    </row>
    <row r="127" customFormat="false" ht="15" hidden="false" customHeight="false" outlineLevel="0" collapsed="false">
      <c r="A127" s="7" t="s">
        <v>12</v>
      </c>
      <c r="B127" s="7" t="s">
        <v>548</v>
      </c>
      <c r="C127" s="7" t="s">
        <v>567</v>
      </c>
      <c r="D127" s="7" t="s">
        <v>568</v>
      </c>
      <c r="E127" s="7" t="s">
        <v>569</v>
      </c>
      <c r="F127" s="7" t="s">
        <v>99</v>
      </c>
      <c r="G127" s="7" t="s">
        <v>570</v>
      </c>
      <c r="H127" s="7" t="s">
        <v>571</v>
      </c>
      <c r="I127" s="7" t="s">
        <v>135</v>
      </c>
      <c r="J127" s="11" t="s">
        <v>68</v>
      </c>
      <c r="K127" s="10" t="s">
        <v>41</v>
      </c>
      <c r="L127" s="11" t="s">
        <v>68</v>
      </c>
      <c r="M127" s="10" t="s">
        <v>41</v>
      </c>
      <c r="N127" s="9" t="s">
        <v>35</v>
      </c>
    </row>
    <row r="128" customFormat="false" ht="22.35" hidden="false" customHeight="false" outlineLevel="0" collapsed="false">
      <c r="A128" s="7" t="s">
        <v>12</v>
      </c>
      <c r="B128" s="7" t="s">
        <v>572</v>
      </c>
      <c r="C128" s="7" t="s">
        <v>156</v>
      </c>
      <c r="D128" s="7" t="s">
        <v>573</v>
      </c>
      <c r="E128" s="7" t="s">
        <v>131</v>
      </c>
      <c r="F128" s="7" t="s">
        <v>132</v>
      </c>
      <c r="G128" s="7" t="s">
        <v>574</v>
      </c>
      <c r="H128" s="7" t="s">
        <v>318</v>
      </c>
      <c r="I128" s="7" t="s">
        <v>575</v>
      </c>
      <c r="J128" s="8" t="s">
        <v>34</v>
      </c>
      <c r="K128" s="10" t="s">
        <v>41</v>
      </c>
      <c r="L128" s="8" t="s">
        <v>34</v>
      </c>
      <c r="M128" s="10" t="s">
        <v>41</v>
      </c>
      <c r="N128" s="9" t="s">
        <v>35</v>
      </c>
    </row>
    <row r="129" customFormat="false" ht="22.35" hidden="false" customHeight="false" outlineLevel="0" collapsed="false">
      <c r="A129" s="7" t="s">
        <v>12</v>
      </c>
      <c r="B129" s="7" t="s">
        <v>572</v>
      </c>
      <c r="C129" s="7" t="s">
        <v>500</v>
      </c>
      <c r="D129" s="7" t="s">
        <v>576</v>
      </c>
      <c r="E129" s="7" t="s">
        <v>131</v>
      </c>
      <c r="F129" s="7" t="s">
        <v>273</v>
      </c>
      <c r="G129" s="7" t="s">
        <v>577</v>
      </c>
      <c r="H129" s="7" t="s">
        <v>134</v>
      </c>
      <c r="I129" s="7" t="s">
        <v>135</v>
      </c>
      <c r="J129" s="8" t="s">
        <v>34</v>
      </c>
      <c r="K129" s="11" t="s">
        <v>68</v>
      </c>
      <c r="L129" s="8" t="s">
        <v>34</v>
      </c>
      <c r="M129" s="11" t="s">
        <v>68</v>
      </c>
      <c r="N129" s="9" t="s">
        <v>35</v>
      </c>
    </row>
    <row r="130" customFormat="false" ht="22.35" hidden="false" customHeight="false" outlineLevel="0" collapsed="false">
      <c r="A130" s="7" t="s">
        <v>12</v>
      </c>
      <c r="B130" s="7" t="s">
        <v>572</v>
      </c>
      <c r="C130" s="7" t="s">
        <v>578</v>
      </c>
      <c r="D130" s="7" t="s">
        <v>579</v>
      </c>
      <c r="E130" s="7" t="s">
        <v>422</v>
      </c>
      <c r="F130" s="7" t="s">
        <v>139</v>
      </c>
      <c r="G130" s="7" t="s">
        <v>479</v>
      </c>
      <c r="H130" s="7" t="s">
        <v>260</v>
      </c>
      <c r="I130" s="7" t="s">
        <v>135</v>
      </c>
      <c r="J130" s="8" t="s">
        <v>34</v>
      </c>
      <c r="K130" s="10" t="s">
        <v>41</v>
      </c>
      <c r="L130" s="10" t="s">
        <v>41</v>
      </c>
      <c r="M130" s="10" t="s">
        <v>41</v>
      </c>
      <c r="N130" s="9" t="s">
        <v>35</v>
      </c>
    </row>
    <row r="131" customFormat="false" ht="15" hidden="false" customHeight="false" outlineLevel="0" collapsed="false">
      <c r="A131" s="7" t="s">
        <v>12</v>
      </c>
      <c r="B131" s="7" t="s">
        <v>580</v>
      </c>
      <c r="C131" s="7" t="s">
        <v>581</v>
      </c>
      <c r="D131" s="7" t="s">
        <v>582</v>
      </c>
      <c r="E131" s="7" t="s">
        <v>131</v>
      </c>
      <c r="F131" s="7" t="s">
        <v>139</v>
      </c>
      <c r="G131" s="7" t="s">
        <v>583</v>
      </c>
      <c r="H131" s="7" t="s">
        <v>584</v>
      </c>
      <c r="I131" s="7" t="s">
        <v>135</v>
      </c>
      <c r="J131" s="8" t="s">
        <v>34</v>
      </c>
      <c r="K131" s="10" t="s">
        <v>41</v>
      </c>
      <c r="L131" s="8" t="s">
        <v>34</v>
      </c>
      <c r="M131" s="10" t="s">
        <v>41</v>
      </c>
      <c r="N131" s="9" t="s">
        <v>35</v>
      </c>
    </row>
    <row r="132" customFormat="false" ht="22.35" hidden="false" customHeight="false" outlineLevel="0" collapsed="false">
      <c r="A132" s="7" t="s">
        <v>12</v>
      </c>
      <c r="B132" s="7" t="s">
        <v>580</v>
      </c>
      <c r="C132" s="7" t="s">
        <v>156</v>
      </c>
      <c r="D132" s="7" t="s">
        <v>585</v>
      </c>
      <c r="E132" s="7" t="s">
        <v>131</v>
      </c>
      <c r="F132" s="7" t="s">
        <v>132</v>
      </c>
      <c r="G132" s="7" t="s">
        <v>586</v>
      </c>
      <c r="H132" s="7" t="s">
        <v>318</v>
      </c>
      <c r="I132" s="7" t="s">
        <v>135</v>
      </c>
      <c r="J132" s="8" t="s">
        <v>34</v>
      </c>
      <c r="K132" s="10" t="s">
        <v>41</v>
      </c>
      <c r="L132" s="8" t="s">
        <v>34</v>
      </c>
      <c r="M132" s="10" t="s">
        <v>41</v>
      </c>
      <c r="N132" s="9" t="s">
        <v>35</v>
      </c>
    </row>
    <row r="133" customFormat="false" ht="22.35" hidden="false" customHeight="false" outlineLevel="0" collapsed="false">
      <c r="A133" s="7" t="s">
        <v>12</v>
      </c>
      <c r="B133" s="7" t="s">
        <v>580</v>
      </c>
      <c r="C133" s="7" t="s">
        <v>587</v>
      </c>
      <c r="D133" s="7" t="s">
        <v>588</v>
      </c>
      <c r="E133" s="7" t="s">
        <v>131</v>
      </c>
      <c r="F133" s="7" t="s">
        <v>273</v>
      </c>
      <c r="G133" s="7" t="s">
        <v>589</v>
      </c>
      <c r="H133" s="7" t="s">
        <v>134</v>
      </c>
      <c r="I133" s="7" t="s">
        <v>135</v>
      </c>
      <c r="J133" s="8" t="s">
        <v>34</v>
      </c>
      <c r="K133" s="11" t="s">
        <v>68</v>
      </c>
      <c r="L133" s="8" t="s">
        <v>34</v>
      </c>
      <c r="M133" s="11" t="s">
        <v>68</v>
      </c>
      <c r="N133" s="9" t="s">
        <v>35</v>
      </c>
    </row>
    <row r="134" customFormat="false" ht="22.35" hidden="false" customHeight="false" outlineLevel="0" collapsed="false">
      <c r="A134" s="7" t="s">
        <v>12</v>
      </c>
      <c r="B134" s="7" t="s">
        <v>580</v>
      </c>
      <c r="C134" s="7" t="s">
        <v>590</v>
      </c>
      <c r="D134" s="7" t="s">
        <v>585</v>
      </c>
      <c r="E134" s="7" t="s">
        <v>478</v>
      </c>
      <c r="F134" s="7" t="s">
        <v>139</v>
      </c>
      <c r="G134" s="7" t="s">
        <v>479</v>
      </c>
      <c r="H134" s="7" t="s">
        <v>260</v>
      </c>
      <c r="I134" s="7" t="s">
        <v>135</v>
      </c>
      <c r="J134" s="8" t="s">
        <v>34</v>
      </c>
      <c r="K134" s="10" t="s">
        <v>41</v>
      </c>
      <c r="L134" s="10" t="s">
        <v>41</v>
      </c>
      <c r="M134" s="10" t="s">
        <v>41</v>
      </c>
      <c r="N134" s="9" t="s">
        <v>35</v>
      </c>
    </row>
    <row r="135" customFormat="false" ht="15" hidden="false" customHeight="false" outlineLevel="0" collapsed="false">
      <c r="A135" s="7" t="s">
        <v>12</v>
      </c>
      <c r="B135" s="7" t="s">
        <v>591</v>
      </c>
      <c r="C135" s="7" t="s">
        <v>156</v>
      </c>
      <c r="D135" s="7" t="s">
        <v>592</v>
      </c>
      <c r="E135" s="7" t="s">
        <v>131</v>
      </c>
      <c r="F135" s="7" t="s">
        <v>132</v>
      </c>
      <c r="G135" s="7" t="s">
        <v>593</v>
      </c>
      <c r="H135" s="7" t="s">
        <v>318</v>
      </c>
      <c r="I135" s="7" t="s">
        <v>135</v>
      </c>
      <c r="J135" s="8" t="s">
        <v>34</v>
      </c>
      <c r="K135" s="10" t="s">
        <v>41</v>
      </c>
      <c r="L135" s="8" t="s">
        <v>34</v>
      </c>
      <c r="M135" s="10" t="s">
        <v>41</v>
      </c>
      <c r="N135" s="9" t="s">
        <v>35</v>
      </c>
    </row>
    <row r="136" customFormat="false" ht="22.35" hidden="false" customHeight="false" outlineLevel="0" collapsed="false">
      <c r="A136" s="7" t="s">
        <v>12</v>
      </c>
      <c r="B136" s="7" t="s">
        <v>591</v>
      </c>
      <c r="C136" s="7" t="s">
        <v>594</v>
      </c>
      <c r="D136" s="7" t="s">
        <v>595</v>
      </c>
      <c r="E136" s="7" t="s">
        <v>131</v>
      </c>
      <c r="F136" s="7" t="s">
        <v>273</v>
      </c>
      <c r="G136" s="7" t="s">
        <v>596</v>
      </c>
      <c r="H136" s="7" t="s">
        <v>134</v>
      </c>
      <c r="I136" s="7" t="s">
        <v>135</v>
      </c>
      <c r="J136" s="8" t="s">
        <v>34</v>
      </c>
      <c r="K136" s="11" t="s">
        <v>68</v>
      </c>
      <c r="L136" s="8" t="s">
        <v>34</v>
      </c>
      <c r="M136" s="11" t="s">
        <v>68</v>
      </c>
      <c r="N136" s="9" t="s">
        <v>35</v>
      </c>
    </row>
    <row r="137" customFormat="false" ht="22.35" hidden="false" customHeight="false" outlineLevel="0" collapsed="false">
      <c r="A137" s="7" t="s">
        <v>12</v>
      </c>
      <c r="B137" s="7" t="s">
        <v>591</v>
      </c>
      <c r="C137" s="7" t="s">
        <v>597</v>
      </c>
      <c r="D137" s="7" t="s">
        <v>598</v>
      </c>
      <c r="E137" s="7" t="s">
        <v>146</v>
      </c>
      <c r="F137" s="7" t="s">
        <v>599</v>
      </c>
      <c r="G137" s="7" t="s">
        <v>600</v>
      </c>
      <c r="H137" s="7" t="s">
        <v>81</v>
      </c>
      <c r="I137" s="7" t="s">
        <v>135</v>
      </c>
      <c r="J137" s="8" t="s">
        <v>34</v>
      </c>
      <c r="K137" s="10" t="s">
        <v>41</v>
      </c>
      <c r="L137" s="11" t="s">
        <v>68</v>
      </c>
      <c r="M137" s="10" t="s">
        <v>41</v>
      </c>
      <c r="N137" s="9" t="s">
        <v>35</v>
      </c>
    </row>
    <row r="138" customFormat="false" ht="22.35" hidden="false" customHeight="false" outlineLevel="0" collapsed="false">
      <c r="A138" s="7" t="s">
        <v>12</v>
      </c>
      <c r="B138" s="7" t="s">
        <v>601</v>
      </c>
      <c r="C138" s="7" t="s">
        <v>602</v>
      </c>
      <c r="D138" s="7" t="s">
        <v>603</v>
      </c>
      <c r="E138" s="7" t="s">
        <v>131</v>
      </c>
      <c r="F138" s="7" t="s">
        <v>132</v>
      </c>
      <c r="G138" s="7" t="s">
        <v>604</v>
      </c>
      <c r="H138" s="7" t="s">
        <v>605</v>
      </c>
      <c r="I138" s="7" t="s">
        <v>606</v>
      </c>
      <c r="J138" s="8" t="s">
        <v>34</v>
      </c>
      <c r="K138" s="10" t="s">
        <v>41</v>
      </c>
      <c r="L138" s="8" t="s">
        <v>34</v>
      </c>
      <c r="M138" s="10" t="s">
        <v>41</v>
      </c>
      <c r="N138" s="9" t="s">
        <v>35</v>
      </c>
    </row>
    <row r="139" customFormat="false" ht="22.35" hidden="false" customHeight="false" outlineLevel="0" collapsed="false">
      <c r="A139" s="7" t="s">
        <v>12</v>
      </c>
      <c r="B139" s="7" t="s">
        <v>601</v>
      </c>
      <c r="C139" s="7" t="s">
        <v>594</v>
      </c>
      <c r="D139" s="7" t="s">
        <v>607</v>
      </c>
      <c r="E139" s="7" t="s">
        <v>131</v>
      </c>
      <c r="F139" s="7" t="s">
        <v>273</v>
      </c>
      <c r="G139" s="7" t="s">
        <v>608</v>
      </c>
      <c r="H139" s="7" t="s">
        <v>134</v>
      </c>
      <c r="I139" s="7" t="s">
        <v>135</v>
      </c>
      <c r="J139" s="8" t="s">
        <v>34</v>
      </c>
      <c r="K139" s="11" t="s">
        <v>68</v>
      </c>
      <c r="L139" s="8" t="s">
        <v>34</v>
      </c>
      <c r="M139" s="11" t="s">
        <v>68</v>
      </c>
      <c r="N139" s="9" t="s">
        <v>35</v>
      </c>
    </row>
    <row r="140" customFormat="false" ht="22.35" hidden="false" customHeight="false" outlineLevel="0" collapsed="false">
      <c r="A140" s="7" t="s">
        <v>12</v>
      </c>
      <c r="B140" s="7" t="s">
        <v>601</v>
      </c>
      <c r="C140" s="7" t="s">
        <v>609</v>
      </c>
      <c r="D140" s="7" t="s">
        <v>550</v>
      </c>
      <c r="E140" s="7" t="s">
        <v>203</v>
      </c>
      <c r="F140" s="7" t="s">
        <v>348</v>
      </c>
      <c r="G140" s="7" t="s">
        <v>610</v>
      </c>
      <c r="H140" s="7" t="s">
        <v>611</v>
      </c>
      <c r="I140" s="7" t="s">
        <v>135</v>
      </c>
      <c r="J140" s="10" t="s">
        <v>41</v>
      </c>
      <c r="K140" s="8" t="s">
        <v>34</v>
      </c>
      <c r="L140" s="11" t="s">
        <v>68</v>
      </c>
      <c r="M140" s="8" t="s">
        <v>34</v>
      </c>
      <c r="N140" s="9" t="s">
        <v>35</v>
      </c>
    </row>
    <row r="141" customFormat="false" ht="22.35" hidden="false" customHeight="false" outlineLevel="0" collapsed="false">
      <c r="A141" s="7" t="s">
        <v>12</v>
      </c>
      <c r="B141" s="7" t="s">
        <v>601</v>
      </c>
      <c r="C141" s="7" t="s">
        <v>597</v>
      </c>
      <c r="D141" s="7" t="s">
        <v>612</v>
      </c>
      <c r="E141" s="7" t="s">
        <v>146</v>
      </c>
      <c r="F141" s="7" t="s">
        <v>599</v>
      </c>
      <c r="G141" s="7" t="s">
        <v>613</v>
      </c>
      <c r="H141" s="7" t="s">
        <v>81</v>
      </c>
      <c r="I141" s="7" t="s">
        <v>135</v>
      </c>
      <c r="J141" s="8" t="s">
        <v>34</v>
      </c>
      <c r="K141" s="10" t="s">
        <v>41</v>
      </c>
      <c r="L141" s="11" t="s">
        <v>68</v>
      </c>
      <c r="M141" s="10" t="s">
        <v>41</v>
      </c>
      <c r="N141" s="9" t="s">
        <v>35</v>
      </c>
    </row>
    <row r="142" customFormat="false" ht="22.35" hidden="false" customHeight="false" outlineLevel="0" collapsed="false">
      <c r="A142" s="7" t="s">
        <v>12</v>
      </c>
      <c r="B142" s="7" t="s">
        <v>614</v>
      </c>
      <c r="C142" s="7" t="s">
        <v>615</v>
      </c>
      <c r="D142" s="7" t="s">
        <v>616</v>
      </c>
      <c r="E142" s="7" t="s">
        <v>131</v>
      </c>
      <c r="F142" s="7" t="s">
        <v>617</v>
      </c>
      <c r="G142" s="7" t="s">
        <v>618</v>
      </c>
      <c r="H142" s="7" t="s">
        <v>619</v>
      </c>
      <c r="I142" s="7" t="s">
        <v>135</v>
      </c>
      <c r="J142" s="8" t="s">
        <v>34</v>
      </c>
      <c r="K142" s="8" t="s">
        <v>34</v>
      </c>
      <c r="L142" s="8" t="s">
        <v>34</v>
      </c>
      <c r="M142" s="8" t="s">
        <v>34</v>
      </c>
      <c r="N142" s="9" t="s">
        <v>35</v>
      </c>
    </row>
    <row r="143" customFormat="false" ht="22.35" hidden="false" customHeight="false" outlineLevel="0" collapsed="false">
      <c r="A143" s="7" t="s">
        <v>12</v>
      </c>
      <c r="B143" s="7" t="s">
        <v>614</v>
      </c>
      <c r="C143" s="7" t="s">
        <v>620</v>
      </c>
      <c r="D143" s="7" t="s">
        <v>621</v>
      </c>
      <c r="E143" s="7" t="s">
        <v>372</v>
      </c>
      <c r="F143" s="7" t="s">
        <v>139</v>
      </c>
      <c r="G143" s="7" t="s">
        <v>622</v>
      </c>
      <c r="H143" s="7" t="s">
        <v>623</v>
      </c>
      <c r="I143" s="7" t="s">
        <v>135</v>
      </c>
      <c r="J143" s="8" t="s">
        <v>34</v>
      </c>
      <c r="K143" s="10" t="s">
        <v>41</v>
      </c>
      <c r="L143" s="8" t="s">
        <v>34</v>
      </c>
      <c r="M143" s="10" t="s">
        <v>41</v>
      </c>
      <c r="N143" s="9" t="s">
        <v>35</v>
      </c>
    </row>
    <row r="144" customFormat="false" ht="22.35" hidden="false" customHeight="false" outlineLevel="0" collapsed="false">
      <c r="A144" s="7" t="s">
        <v>12</v>
      </c>
      <c r="B144" s="7" t="s">
        <v>614</v>
      </c>
      <c r="C144" s="7" t="s">
        <v>624</v>
      </c>
      <c r="D144" s="7" t="s">
        <v>625</v>
      </c>
      <c r="E144" s="7" t="s">
        <v>131</v>
      </c>
      <c r="F144" s="7" t="s">
        <v>139</v>
      </c>
      <c r="G144" s="7" t="s">
        <v>626</v>
      </c>
      <c r="H144" s="7" t="s">
        <v>627</v>
      </c>
      <c r="I144" s="7" t="s">
        <v>135</v>
      </c>
      <c r="J144" s="8" t="s">
        <v>34</v>
      </c>
      <c r="K144" s="10" t="s">
        <v>41</v>
      </c>
      <c r="L144" s="8" t="s">
        <v>34</v>
      </c>
      <c r="M144" s="10" t="s">
        <v>41</v>
      </c>
      <c r="N144" s="9" t="s">
        <v>35</v>
      </c>
    </row>
    <row r="145" customFormat="false" ht="15" hidden="false" customHeight="false" outlineLevel="0" collapsed="false">
      <c r="A145" s="7" t="s">
        <v>12</v>
      </c>
      <c r="B145" s="7" t="s">
        <v>614</v>
      </c>
      <c r="C145" s="7" t="s">
        <v>587</v>
      </c>
      <c r="D145" s="7" t="s">
        <v>628</v>
      </c>
      <c r="E145" s="7" t="s">
        <v>131</v>
      </c>
      <c r="F145" s="7" t="s">
        <v>273</v>
      </c>
      <c r="G145" s="7" t="s">
        <v>629</v>
      </c>
      <c r="H145" s="7" t="s">
        <v>134</v>
      </c>
      <c r="I145" s="7" t="s">
        <v>135</v>
      </c>
      <c r="J145" s="8" t="s">
        <v>34</v>
      </c>
      <c r="K145" s="11" t="s">
        <v>68</v>
      </c>
      <c r="L145" s="8" t="s">
        <v>34</v>
      </c>
      <c r="M145" s="11" t="s">
        <v>68</v>
      </c>
      <c r="N145" s="9" t="s">
        <v>35</v>
      </c>
    </row>
    <row r="146" customFormat="false" ht="15" hidden="false" customHeight="false" outlineLevel="0" collapsed="false">
      <c r="A146" s="7" t="s">
        <v>12</v>
      </c>
      <c r="B146" s="7" t="s">
        <v>614</v>
      </c>
      <c r="C146" s="7" t="s">
        <v>630</v>
      </c>
      <c r="D146" s="7" t="s">
        <v>631</v>
      </c>
      <c r="E146" s="7" t="s">
        <v>131</v>
      </c>
      <c r="F146" s="7" t="s">
        <v>139</v>
      </c>
      <c r="G146" s="7" t="s">
        <v>632</v>
      </c>
      <c r="H146" s="7" t="s">
        <v>633</v>
      </c>
      <c r="I146" s="7" t="s">
        <v>634</v>
      </c>
      <c r="J146" s="8" t="s">
        <v>34</v>
      </c>
      <c r="K146" s="8" t="s">
        <v>34</v>
      </c>
      <c r="L146" s="8" t="s">
        <v>34</v>
      </c>
      <c r="M146" s="8" t="s">
        <v>34</v>
      </c>
      <c r="N146" s="9" t="s">
        <v>35</v>
      </c>
    </row>
    <row r="147" customFormat="false" ht="22.35" hidden="false" customHeight="false" outlineLevel="0" collapsed="false">
      <c r="A147" s="7" t="s">
        <v>12</v>
      </c>
      <c r="B147" s="7" t="s">
        <v>614</v>
      </c>
      <c r="C147" s="7" t="s">
        <v>635</v>
      </c>
      <c r="D147" s="7" t="s">
        <v>636</v>
      </c>
      <c r="E147" s="7" t="s">
        <v>637</v>
      </c>
      <c r="F147" s="7" t="s">
        <v>139</v>
      </c>
      <c r="G147" s="7" t="s">
        <v>638</v>
      </c>
      <c r="H147" s="7" t="s">
        <v>639</v>
      </c>
      <c r="I147" s="7" t="s">
        <v>135</v>
      </c>
      <c r="J147" s="10" t="s">
        <v>41</v>
      </c>
      <c r="K147" s="10" t="s">
        <v>41</v>
      </c>
      <c r="L147" s="10" t="s">
        <v>41</v>
      </c>
      <c r="M147" s="10" t="s">
        <v>41</v>
      </c>
      <c r="N147" s="9" t="s">
        <v>35</v>
      </c>
    </row>
    <row r="148" customFormat="false" ht="22.35" hidden="false" customHeight="false" outlineLevel="0" collapsed="false">
      <c r="A148" s="7" t="s">
        <v>12</v>
      </c>
      <c r="B148" s="7" t="s">
        <v>614</v>
      </c>
      <c r="C148" s="7" t="s">
        <v>640</v>
      </c>
      <c r="D148" s="7" t="s">
        <v>641</v>
      </c>
      <c r="E148" s="7" t="s">
        <v>642</v>
      </c>
      <c r="F148" s="7" t="s">
        <v>139</v>
      </c>
      <c r="G148" s="7" t="s">
        <v>643</v>
      </c>
      <c r="H148" s="7" t="s">
        <v>644</v>
      </c>
      <c r="I148" s="7" t="s">
        <v>135</v>
      </c>
      <c r="J148" s="8" t="s">
        <v>34</v>
      </c>
      <c r="K148" s="10" t="s">
        <v>41</v>
      </c>
      <c r="L148" s="10" t="s">
        <v>41</v>
      </c>
      <c r="M148" s="10" t="s">
        <v>41</v>
      </c>
      <c r="N148" s="9" t="s">
        <v>35</v>
      </c>
    </row>
    <row r="149" customFormat="false" ht="22.35" hidden="false" customHeight="false" outlineLevel="0" collapsed="false">
      <c r="A149" s="7" t="s">
        <v>12</v>
      </c>
      <c r="B149" s="7" t="s">
        <v>645</v>
      </c>
      <c r="C149" s="7" t="s">
        <v>156</v>
      </c>
      <c r="D149" s="7" t="s">
        <v>646</v>
      </c>
      <c r="E149" s="7" t="s">
        <v>131</v>
      </c>
      <c r="F149" s="7" t="s">
        <v>132</v>
      </c>
      <c r="G149" s="7" t="s">
        <v>647</v>
      </c>
      <c r="H149" s="7" t="s">
        <v>648</v>
      </c>
      <c r="I149" s="7" t="s">
        <v>135</v>
      </c>
      <c r="J149" s="8" t="s">
        <v>34</v>
      </c>
      <c r="K149" s="10" t="s">
        <v>41</v>
      </c>
      <c r="L149" s="8" t="s">
        <v>34</v>
      </c>
      <c r="M149" s="10" t="s">
        <v>41</v>
      </c>
      <c r="N149" s="9" t="s">
        <v>35</v>
      </c>
    </row>
    <row r="150" customFormat="false" ht="15" hidden="false" customHeight="false" outlineLevel="0" collapsed="false">
      <c r="A150" s="7" t="s">
        <v>12</v>
      </c>
      <c r="B150" s="7" t="s">
        <v>645</v>
      </c>
      <c r="C150" s="7" t="s">
        <v>587</v>
      </c>
      <c r="D150" s="7" t="s">
        <v>649</v>
      </c>
      <c r="E150" s="7" t="s">
        <v>131</v>
      </c>
      <c r="F150" s="7" t="s">
        <v>273</v>
      </c>
      <c r="G150" s="7" t="s">
        <v>650</v>
      </c>
      <c r="H150" s="7" t="s">
        <v>134</v>
      </c>
      <c r="I150" s="7" t="s">
        <v>135</v>
      </c>
      <c r="J150" s="8" t="s">
        <v>34</v>
      </c>
      <c r="K150" s="11" t="s">
        <v>68</v>
      </c>
      <c r="L150" s="8" t="s">
        <v>34</v>
      </c>
      <c r="M150" s="11" t="s">
        <v>68</v>
      </c>
      <c r="N150" s="9" t="s">
        <v>35</v>
      </c>
    </row>
    <row r="151" customFormat="false" ht="22.35" hidden="false" customHeight="false" outlineLevel="0" collapsed="false">
      <c r="A151" s="7" t="s">
        <v>12</v>
      </c>
      <c r="B151" s="7" t="s">
        <v>645</v>
      </c>
      <c r="C151" s="7" t="s">
        <v>651</v>
      </c>
      <c r="D151" s="7" t="s">
        <v>652</v>
      </c>
      <c r="E151" s="7" t="s">
        <v>653</v>
      </c>
      <c r="F151" s="7" t="s">
        <v>139</v>
      </c>
      <c r="G151" s="7" t="s">
        <v>654</v>
      </c>
      <c r="H151" s="7" t="s">
        <v>655</v>
      </c>
      <c r="I151" s="7" t="s">
        <v>135</v>
      </c>
      <c r="J151" s="8" t="s">
        <v>34</v>
      </c>
      <c r="K151" s="10" t="s">
        <v>41</v>
      </c>
      <c r="L151" s="10" t="s">
        <v>41</v>
      </c>
      <c r="M151" s="10" t="s">
        <v>41</v>
      </c>
      <c r="N151" s="9" t="s">
        <v>35</v>
      </c>
    </row>
    <row r="152" customFormat="false" ht="22.35" hidden="false" customHeight="false" outlineLevel="0" collapsed="false">
      <c r="A152" s="7" t="s">
        <v>12</v>
      </c>
      <c r="B152" s="7" t="s">
        <v>656</v>
      </c>
      <c r="C152" s="7" t="s">
        <v>129</v>
      </c>
      <c r="D152" s="7" t="s">
        <v>657</v>
      </c>
      <c r="E152" s="7" t="s">
        <v>131</v>
      </c>
      <c r="F152" s="7" t="s">
        <v>400</v>
      </c>
      <c r="G152" s="7" t="s">
        <v>658</v>
      </c>
      <c r="H152" s="7" t="s">
        <v>659</v>
      </c>
      <c r="I152" s="7" t="s">
        <v>135</v>
      </c>
      <c r="J152" s="8" t="s">
        <v>34</v>
      </c>
      <c r="K152" s="10" t="s">
        <v>41</v>
      </c>
      <c r="L152" s="8" t="s">
        <v>34</v>
      </c>
      <c r="M152" s="10" t="s">
        <v>41</v>
      </c>
      <c r="N152" s="9" t="s">
        <v>35</v>
      </c>
    </row>
    <row r="153" customFormat="false" ht="22.35" hidden="false" customHeight="false" outlineLevel="0" collapsed="false">
      <c r="A153" s="7" t="s">
        <v>12</v>
      </c>
      <c r="B153" s="7" t="s">
        <v>656</v>
      </c>
      <c r="C153" s="7" t="s">
        <v>500</v>
      </c>
      <c r="D153" s="7" t="s">
        <v>660</v>
      </c>
      <c r="E153" s="7" t="s">
        <v>131</v>
      </c>
      <c r="F153" s="7" t="s">
        <v>273</v>
      </c>
      <c r="G153" s="7" t="s">
        <v>661</v>
      </c>
      <c r="H153" s="7" t="s">
        <v>134</v>
      </c>
      <c r="I153" s="7" t="s">
        <v>135</v>
      </c>
      <c r="J153" s="8" t="s">
        <v>34</v>
      </c>
      <c r="K153" s="11" t="s">
        <v>68</v>
      </c>
      <c r="L153" s="8" t="s">
        <v>34</v>
      </c>
      <c r="M153" s="11" t="s">
        <v>68</v>
      </c>
      <c r="N153" s="9" t="s">
        <v>35</v>
      </c>
    </row>
    <row r="154" customFormat="false" ht="22.35" hidden="false" customHeight="false" outlineLevel="0" collapsed="false">
      <c r="A154" s="7" t="s">
        <v>12</v>
      </c>
      <c r="B154" s="7" t="s">
        <v>662</v>
      </c>
      <c r="C154" s="7" t="s">
        <v>663</v>
      </c>
      <c r="D154" s="7" t="s">
        <v>664</v>
      </c>
      <c r="E154" s="7" t="s">
        <v>131</v>
      </c>
      <c r="F154" s="7" t="s">
        <v>132</v>
      </c>
      <c r="G154" s="7" t="s">
        <v>665</v>
      </c>
      <c r="H154" s="7" t="s">
        <v>666</v>
      </c>
      <c r="I154" s="7" t="s">
        <v>135</v>
      </c>
      <c r="J154" s="8" t="s">
        <v>34</v>
      </c>
      <c r="K154" s="10" t="s">
        <v>41</v>
      </c>
      <c r="L154" s="8" t="s">
        <v>34</v>
      </c>
      <c r="M154" s="10" t="s">
        <v>41</v>
      </c>
      <c r="N154" s="9" t="s">
        <v>35</v>
      </c>
    </row>
    <row r="155" customFormat="false" ht="22.35" hidden="false" customHeight="false" outlineLevel="0" collapsed="false">
      <c r="A155" s="7" t="s">
        <v>12</v>
      </c>
      <c r="B155" s="7" t="s">
        <v>662</v>
      </c>
      <c r="C155" s="7" t="s">
        <v>667</v>
      </c>
      <c r="D155" s="7" t="s">
        <v>668</v>
      </c>
      <c r="E155" s="7" t="s">
        <v>146</v>
      </c>
      <c r="F155" s="7" t="s">
        <v>245</v>
      </c>
      <c r="G155" s="7" t="s">
        <v>669</v>
      </c>
      <c r="H155" s="7" t="s">
        <v>670</v>
      </c>
      <c r="I155" s="7" t="s">
        <v>135</v>
      </c>
      <c r="J155" s="8" t="s">
        <v>34</v>
      </c>
      <c r="K155" s="10" t="s">
        <v>41</v>
      </c>
      <c r="L155" s="11" t="s">
        <v>68</v>
      </c>
      <c r="M155" s="10" t="s">
        <v>41</v>
      </c>
      <c r="N155" s="9" t="s">
        <v>35</v>
      </c>
    </row>
    <row r="156" customFormat="false" ht="22.35" hidden="false" customHeight="false" outlineLevel="0" collapsed="false">
      <c r="A156" s="7" t="s">
        <v>12</v>
      </c>
      <c r="B156" s="7" t="s">
        <v>662</v>
      </c>
      <c r="C156" s="7" t="s">
        <v>671</v>
      </c>
      <c r="D156" s="7" t="s">
        <v>672</v>
      </c>
      <c r="E156" s="7" t="s">
        <v>478</v>
      </c>
      <c r="F156" s="7" t="s">
        <v>139</v>
      </c>
      <c r="G156" s="7" t="s">
        <v>673</v>
      </c>
      <c r="H156" s="7" t="s">
        <v>674</v>
      </c>
      <c r="I156" s="7" t="s">
        <v>135</v>
      </c>
      <c r="J156" s="8" t="s">
        <v>34</v>
      </c>
      <c r="K156" s="10" t="s">
        <v>41</v>
      </c>
      <c r="L156" s="10" t="s">
        <v>41</v>
      </c>
      <c r="M156" s="10" t="s">
        <v>41</v>
      </c>
      <c r="N156" s="9" t="s">
        <v>35</v>
      </c>
    </row>
    <row r="157" customFormat="false" ht="22.35" hidden="false" customHeight="false" outlineLevel="0" collapsed="false">
      <c r="A157" s="7" t="s">
        <v>12</v>
      </c>
      <c r="B157" s="7" t="s">
        <v>675</v>
      </c>
      <c r="C157" s="7" t="s">
        <v>676</v>
      </c>
      <c r="D157" s="7" t="s">
        <v>677</v>
      </c>
      <c r="E157" s="7" t="s">
        <v>131</v>
      </c>
      <c r="F157" s="7" t="s">
        <v>132</v>
      </c>
      <c r="G157" s="7" t="s">
        <v>678</v>
      </c>
      <c r="H157" s="7" t="s">
        <v>679</v>
      </c>
      <c r="I157" s="7" t="s">
        <v>135</v>
      </c>
      <c r="J157" s="8" t="s">
        <v>34</v>
      </c>
      <c r="K157" s="10" t="s">
        <v>41</v>
      </c>
      <c r="L157" s="8" t="s">
        <v>34</v>
      </c>
      <c r="M157" s="10" t="s">
        <v>41</v>
      </c>
      <c r="N157" s="9" t="s">
        <v>35</v>
      </c>
    </row>
    <row r="158" customFormat="false" ht="22.35" hidden="false" customHeight="false" outlineLevel="0" collapsed="false">
      <c r="A158" s="7" t="s">
        <v>12</v>
      </c>
      <c r="B158" s="7" t="s">
        <v>675</v>
      </c>
      <c r="C158" s="7" t="s">
        <v>680</v>
      </c>
      <c r="D158" s="7" t="s">
        <v>681</v>
      </c>
      <c r="E158" s="7" t="s">
        <v>131</v>
      </c>
      <c r="F158" s="7" t="s">
        <v>682</v>
      </c>
      <c r="G158" s="7" t="s">
        <v>683</v>
      </c>
      <c r="H158" s="7" t="s">
        <v>81</v>
      </c>
      <c r="I158" s="7" t="s">
        <v>135</v>
      </c>
      <c r="J158" s="8" t="s">
        <v>34</v>
      </c>
      <c r="K158" s="8" t="s">
        <v>34</v>
      </c>
      <c r="L158" s="8" t="s">
        <v>34</v>
      </c>
      <c r="M158" s="8" t="s">
        <v>34</v>
      </c>
      <c r="N158" s="9" t="s">
        <v>35</v>
      </c>
    </row>
    <row r="159" customFormat="false" ht="22.35" hidden="false" customHeight="false" outlineLevel="0" collapsed="false">
      <c r="A159" s="7" t="s">
        <v>12</v>
      </c>
      <c r="B159" s="7" t="s">
        <v>675</v>
      </c>
      <c r="C159" s="7" t="s">
        <v>684</v>
      </c>
      <c r="D159" s="7" t="s">
        <v>685</v>
      </c>
      <c r="E159" s="7" t="s">
        <v>686</v>
      </c>
      <c r="F159" s="7" t="s">
        <v>139</v>
      </c>
      <c r="G159" s="7" t="s">
        <v>687</v>
      </c>
      <c r="H159" s="7" t="s">
        <v>688</v>
      </c>
      <c r="I159" s="7" t="s">
        <v>135</v>
      </c>
      <c r="J159" s="10" t="s">
        <v>41</v>
      </c>
      <c r="K159" s="10" t="s">
        <v>41</v>
      </c>
      <c r="L159" s="11" t="s">
        <v>68</v>
      </c>
      <c r="M159" s="10" t="s">
        <v>41</v>
      </c>
      <c r="N159" s="9" t="s">
        <v>35</v>
      </c>
    </row>
    <row r="160" customFormat="false" ht="22.35" hidden="false" customHeight="false" outlineLevel="0" collapsed="false">
      <c r="A160" s="7" t="s">
        <v>12</v>
      </c>
      <c r="B160" s="7" t="s">
        <v>689</v>
      </c>
      <c r="C160" s="7" t="s">
        <v>690</v>
      </c>
      <c r="D160" s="7" t="s">
        <v>691</v>
      </c>
      <c r="E160" s="7" t="s">
        <v>692</v>
      </c>
      <c r="F160" s="7" t="s">
        <v>245</v>
      </c>
      <c r="G160" s="7" t="s">
        <v>693</v>
      </c>
      <c r="H160" s="7" t="s">
        <v>694</v>
      </c>
      <c r="I160" s="7" t="s">
        <v>135</v>
      </c>
      <c r="J160" s="8" t="s">
        <v>34</v>
      </c>
      <c r="K160" s="10" t="s">
        <v>41</v>
      </c>
      <c r="L160" s="10" t="s">
        <v>41</v>
      </c>
      <c r="M160" s="10" t="s">
        <v>41</v>
      </c>
      <c r="N160" s="9" t="s">
        <v>35</v>
      </c>
    </row>
    <row r="161" customFormat="false" ht="22.35" hidden="false" customHeight="false" outlineLevel="0" collapsed="false">
      <c r="A161" s="7" t="s">
        <v>12</v>
      </c>
      <c r="B161" s="7" t="s">
        <v>689</v>
      </c>
      <c r="C161" s="7" t="s">
        <v>695</v>
      </c>
      <c r="D161" s="7" t="s">
        <v>696</v>
      </c>
      <c r="E161" s="7" t="s">
        <v>131</v>
      </c>
      <c r="F161" s="7" t="s">
        <v>132</v>
      </c>
      <c r="G161" s="7" t="s">
        <v>697</v>
      </c>
      <c r="H161" s="7" t="s">
        <v>134</v>
      </c>
      <c r="I161" s="7" t="s">
        <v>135</v>
      </c>
      <c r="J161" s="8" t="s">
        <v>34</v>
      </c>
      <c r="K161" s="10" t="s">
        <v>41</v>
      </c>
      <c r="L161" s="8" t="s">
        <v>34</v>
      </c>
      <c r="M161" s="10" t="s">
        <v>41</v>
      </c>
      <c r="N161" s="9" t="s">
        <v>35</v>
      </c>
    </row>
    <row r="162" customFormat="false" ht="15" hidden="false" customHeight="false" outlineLevel="0" collapsed="false">
      <c r="A162" s="7" t="s">
        <v>12</v>
      </c>
      <c r="B162" s="7" t="s">
        <v>689</v>
      </c>
      <c r="C162" s="7" t="s">
        <v>698</v>
      </c>
      <c r="D162" s="7" t="s">
        <v>699</v>
      </c>
      <c r="E162" s="7" t="s">
        <v>131</v>
      </c>
      <c r="F162" s="7" t="s">
        <v>139</v>
      </c>
      <c r="G162" s="7" t="s">
        <v>700</v>
      </c>
      <c r="H162" s="7" t="s">
        <v>701</v>
      </c>
      <c r="I162" s="7" t="s">
        <v>702</v>
      </c>
      <c r="J162" s="8" t="s">
        <v>34</v>
      </c>
      <c r="K162" s="10" t="s">
        <v>41</v>
      </c>
      <c r="L162" s="8" t="s">
        <v>34</v>
      </c>
      <c r="M162" s="10" t="s">
        <v>41</v>
      </c>
      <c r="N162" s="9" t="s">
        <v>35</v>
      </c>
    </row>
    <row r="163" customFormat="false" ht="22.35" hidden="false" customHeight="false" outlineLevel="0" collapsed="false">
      <c r="A163" s="7" t="s">
        <v>12</v>
      </c>
      <c r="B163" s="7" t="s">
        <v>703</v>
      </c>
      <c r="C163" s="7" t="s">
        <v>156</v>
      </c>
      <c r="D163" s="7" t="s">
        <v>704</v>
      </c>
      <c r="E163" s="7" t="s">
        <v>131</v>
      </c>
      <c r="F163" s="7" t="s">
        <v>132</v>
      </c>
      <c r="G163" s="7" t="s">
        <v>705</v>
      </c>
      <c r="H163" s="7" t="s">
        <v>706</v>
      </c>
      <c r="I163" s="7" t="s">
        <v>135</v>
      </c>
      <c r="J163" s="8" t="s">
        <v>34</v>
      </c>
      <c r="K163" s="10" t="s">
        <v>41</v>
      </c>
      <c r="L163" s="8" t="s">
        <v>34</v>
      </c>
      <c r="M163" s="10" t="s">
        <v>41</v>
      </c>
      <c r="N163" s="9" t="s">
        <v>35</v>
      </c>
    </row>
    <row r="164" customFormat="false" ht="22.35" hidden="false" customHeight="false" outlineLevel="0" collapsed="false">
      <c r="A164" s="7" t="s">
        <v>12</v>
      </c>
      <c r="B164" s="7" t="s">
        <v>703</v>
      </c>
      <c r="C164" s="7" t="s">
        <v>707</v>
      </c>
      <c r="D164" s="7" t="s">
        <v>708</v>
      </c>
      <c r="E164" s="7" t="s">
        <v>478</v>
      </c>
      <c r="F164" s="7" t="s">
        <v>139</v>
      </c>
      <c r="G164" s="7" t="s">
        <v>709</v>
      </c>
      <c r="H164" s="7" t="s">
        <v>710</v>
      </c>
      <c r="I164" s="7" t="s">
        <v>135</v>
      </c>
      <c r="J164" s="8" t="s">
        <v>34</v>
      </c>
      <c r="K164" s="10" t="s">
        <v>41</v>
      </c>
      <c r="L164" s="10" t="s">
        <v>41</v>
      </c>
      <c r="M164" s="10" t="s">
        <v>41</v>
      </c>
      <c r="N164" s="9" t="s">
        <v>35</v>
      </c>
    </row>
    <row r="165" customFormat="false" ht="22.35" hidden="false" customHeight="false" outlineLevel="0" collapsed="false">
      <c r="A165" s="7" t="s">
        <v>12</v>
      </c>
      <c r="B165" s="7" t="s">
        <v>711</v>
      </c>
      <c r="C165" s="7" t="s">
        <v>712</v>
      </c>
      <c r="D165" s="7" t="s">
        <v>713</v>
      </c>
      <c r="E165" s="7" t="s">
        <v>138</v>
      </c>
      <c r="F165" s="7" t="s">
        <v>30</v>
      </c>
      <c r="G165" s="7" t="s">
        <v>714</v>
      </c>
      <c r="H165" s="7" t="s">
        <v>715</v>
      </c>
      <c r="I165" s="7" t="s">
        <v>135</v>
      </c>
      <c r="J165" s="8" t="s">
        <v>34</v>
      </c>
      <c r="K165" s="10" t="s">
        <v>41</v>
      </c>
      <c r="L165" s="10" t="s">
        <v>41</v>
      </c>
      <c r="M165" s="10" t="s">
        <v>41</v>
      </c>
      <c r="N165" s="9" t="s">
        <v>35</v>
      </c>
    </row>
    <row r="166" customFormat="false" ht="15" hidden="false" customHeight="false" outlineLevel="0" collapsed="false">
      <c r="A166" s="7" t="s">
        <v>12</v>
      </c>
      <c r="B166" s="7" t="s">
        <v>711</v>
      </c>
      <c r="C166" s="7" t="s">
        <v>716</v>
      </c>
      <c r="D166" s="7" t="s">
        <v>717</v>
      </c>
      <c r="E166" s="7" t="s">
        <v>161</v>
      </c>
      <c r="F166" s="7" t="s">
        <v>30</v>
      </c>
      <c r="G166" s="7" t="s">
        <v>718</v>
      </c>
      <c r="H166" s="7" t="s">
        <v>134</v>
      </c>
      <c r="I166" s="7" t="s">
        <v>719</v>
      </c>
      <c r="J166" s="8" t="s">
        <v>34</v>
      </c>
      <c r="K166" s="8" t="s">
        <v>34</v>
      </c>
      <c r="L166" s="10" t="s">
        <v>41</v>
      </c>
      <c r="M166" s="8" t="s">
        <v>34</v>
      </c>
      <c r="N166" s="9" t="s">
        <v>35</v>
      </c>
    </row>
    <row r="167" customFormat="false" ht="22.35" hidden="false" customHeight="false" outlineLevel="0" collapsed="false">
      <c r="A167" s="7" t="s">
        <v>12</v>
      </c>
      <c r="B167" s="7" t="s">
        <v>711</v>
      </c>
      <c r="C167" s="7" t="s">
        <v>720</v>
      </c>
      <c r="D167" s="7" t="s">
        <v>717</v>
      </c>
      <c r="E167" s="7" t="s">
        <v>180</v>
      </c>
      <c r="F167" s="7" t="s">
        <v>30</v>
      </c>
      <c r="G167" s="7" t="s">
        <v>721</v>
      </c>
      <c r="H167" s="7" t="s">
        <v>134</v>
      </c>
      <c r="I167" s="7" t="s">
        <v>722</v>
      </c>
      <c r="J167" s="8" t="s">
        <v>34</v>
      </c>
      <c r="K167" s="8" t="s">
        <v>34</v>
      </c>
      <c r="L167" s="8" t="s">
        <v>34</v>
      </c>
      <c r="M167" s="8" t="s">
        <v>34</v>
      </c>
      <c r="N167" s="9" t="s">
        <v>35</v>
      </c>
    </row>
    <row r="168" customFormat="false" ht="15" hidden="false" customHeight="false" outlineLevel="0" collapsed="false">
      <c r="A168" s="7" t="s">
        <v>12</v>
      </c>
      <c r="B168" s="7" t="s">
        <v>711</v>
      </c>
      <c r="C168" s="7" t="s">
        <v>723</v>
      </c>
      <c r="D168" s="7" t="s">
        <v>724</v>
      </c>
      <c r="E168" s="7" t="s">
        <v>180</v>
      </c>
      <c r="F168" s="7" t="s">
        <v>139</v>
      </c>
      <c r="G168" s="7" t="s">
        <v>725</v>
      </c>
      <c r="H168" s="7" t="s">
        <v>726</v>
      </c>
      <c r="I168" s="7" t="s">
        <v>135</v>
      </c>
      <c r="J168" s="8" t="s">
        <v>34</v>
      </c>
      <c r="K168" s="10" t="s">
        <v>41</v>
      </c>
      <c r="L168" s="8" t="s">
        <v>34</v>
      </c>
      <c r="M168" s="10" t="s">
        <v>41</v>
      </c>
      <c r="N168" s="9" t="s">
        <v>35</v>
      </c>
    </row>
    <row r="169" customFormat="false" ht="22.35" hidden="false" customHeight="false" outlineLevel="0" collapsed="false">
      <c r="A169" s="7" t="s">
        <v>12</v>
      </c>
      <c r="B169" s="7" t="s">
        <v>711</v>
      </c>
      <c r="C169" s="7" t="s">
        <v>305</v>
      </c>
      <c r="D169" s="7" t="s">
        <v>724</v>
      </c>
      <c r="E169" s="7" t="s">
        <v>727</v>
      </c>
      <c r="F169" s="7" t="s">
        <v>139</v>
      </c>
      <c r="G169" s="7" t="s">
        <v>728</v>
      </c>
      <c r="H169" s="7" t="s">
        <v>61</v>
      </c>
      <c r="I169" s="7" t="s">
        <v>729</v>
      </c>
      <c r="J169" s="8" t="s">
        <v>34</v>
      </c>
      <c r="K169" s="8" t="s">
        <v>34</v>
      </c>
      <c r="L169" s="10" t="s">
        <v>41</v>
      </c>
      <c r="M169" s="8" t="s">
        <v>34</v>
      </c>
      <c r="N169" s="9" t="s">
        <v>35</v>
      </c>
    </row>
    <row r="170" customFormat="false" ht="22.35" hidden="false" customHeight="false" outlineLevel="0" collapsed="false">
      <c r="A170" s="7" t="s">
        <v>12</v>
      </c>
      <c r="B170" s="7" t="s">
        <v>711</v>
      </c>
      <c r="C170" s="7" t="s">
        <v>730</v>
      </c>
      <c r="D170" s="7" t="s">
        <v>550</v>
      </c>
      <c r="E170" s="7" t="s">
        <v>372</v>
      </c>
      <c r="F170" s="7" t="s">
        <v>139</v>
      </c>
      <c r="G170" s="7" t="s">
        <v>731</v>
      </c>
      <c r="H170" s="7" t="s">
        <v>732</v>
      </c>
      <c r="I170" s="7" t="s">
        <v>733</v>
      </c>
      <c r="J170" s="8" t="s">
        <v>34</v>
      </c>
      <c r="K170" s="8" t="s">
        <v>34</v>
      </c>
      <c r="L170" s="8" t="s">
        <v>34</v>
      </c>
      <c r="M170" s="8" t="s">
        <v>34</v>
      </c>
      <c r="N170" s="9" t="s">
        <v>35</v>
      </c>
    </row>
    <row r="171" customFormat="false" ht="22.35" hidden="false" customHeight="false" outlineLevel="0" collapsed="false">
      <c r="A171" s="7" t="s">
        <v>12</v>
      </c>
      <c r="B171" s="7" t="s">
        <v>734</v>
      </c>
      <c r="C171" s="7" t="s">
        <v>735</v>
      </c>
      <c r="D171" s="7" t="s">
        <v>736</v>
      </c>
      <c r="E171" s="7" t="s">
        <v>131</v>
      </c>
      <c r="F171" s="7" t="s">
        <v>737</v>
      </c>
      <c r="G171" s="7" t="s">
        <v>738</v>
      </c>
      <c r="H171" s="7" t="s">
        <v>134</v>
      </c>
      <c r="I171" s="7" t="s">
        <v>135</v>
      </c>
      <c r="J171" s="8" t="s">
        <v>34</v>
      </c>
      <c r="K171" s="10" t="s">
        <v>41</v>
      </c>
      <c r="L171" s="8" t="s">
        <v>34</v>
      </c>
      <c r="M171" s="10" t="s">
        <v>41</v>
      </c>
      <c r="N171" s="9" t="s">
        <v>35</v>
      </c>
    </row>
    <row r="172" customFormat="false" ht="22.35" hidden="false" customHeight="false" outlineLevel="0" collapsed="false">
      <c r="A172" s="7" t="s">
        <v>12</v>
      </c>
      <c r="B172" s="7" t="s">
        <v>734</v>
      </c>
      <c r="C172" s="7" t="s">
        <v>739</v>
      </c>
      <c r="D172" s="7" t="s">
        <v>740</v>
      </c>
      <c r="E172" s="7" t="s">
        <v>741</v>
      </c>
      <c r="F172" s="7" t="s">
        <v>273</v>
      </c>
      <c r="G172" s="7" t="s">
        <v>742</v>
      </c>
      <c r="H172" s="7" t="s">
        <v>134</v>
      </c>
      <c r="I172" s="7" t="s">
        <v>743</v>
      </c>
      <c r="J172" s="8" t="s">
        <v>34</v>
      </c>
      <c r="K172" s="11" t="s">
        <v>68</v>
      </c>
      <c r="L172" s="10" t="s">
        <v>41</v>
      </c>
      <c r="M172" s="11" t="s">
        <v>68</v>
      </c>
      <c r="N172" s="9" t="s">
        <v>35</v>
      </c>
    </row>
    <row r="173" customFormat="false" ht="22.35" hidden="false" customHeight="false" outlineLevel="0" collapsed="false">
      <c r="A173" s="7" t="s">
        <v>12</v>
      </c>
      <c r="B173" s="7" t="s">
        <v>734</v>
      </c>
      <c r="C173" s="7" t="s">
        <v>744</v>
      </c>
      <c r="D173" s="7" t="s">
        <v>745</v>
      </c>
      <c r="E173" s="7" t="s">
        <v>180</v>
      </c>
      <c r="F173" s="7" t="s">
        <v>30</v>
      </c>
      <c r="G173" s="7" t="s">
        <v>746</v>
      </c>
      <c r="H173" s="7" t="s">
        <v>747</v>
      </c>
      <c r="I173" s="7" t="s">
        <v>135</v>
      </c>
      <c r="J173" s="8" t="s">
        <v>34</v>
      </c>
      <c r="K173" s="10" t="s">
        <v>41</v>
      </c>
      <c r="L173" s="8" t="s">
        <v>34</v>
      </c>
      <c r="M173" s="10" t="s">
        <v>41</v>
      </c>
      <c r="N173" s="9" t="s">
        <v>35</v>
      </c>
    </row>
    <row r="174" customFormat="false" ht="22.35" hidden="false" customHeight="false" outlineLevel="0" collapsed="false">
      <c r="A174" s="7" t="s">
        <v>12</v>
      </c>
      <c r="B174" s="7" t="s">
        <v>734</v>
      </c>
      <c r="C174" s="7" t="s">
        <v>748</v>
      </c>
      <c r="D174" s="7" t="s">
        <v>745</v>
      </c>
      <c r="E174" s="7" t="s">
        <v>52</v>
      </c>
      <c r="F174" s="7" t="s">
        <v>30</v>
      </c>
      <c r="G174" s="7" t="s">
        <v>749</v>
      </c>
      <c r="H174" s="7" t="s">
        <v>134</v>
      </c>
      <c r="I174" s="7" t="s">
        <v>135</v>
      </c>
      <c r="J174" s="10" t="s">
        <v>41</v>
      </c>
      <c r="K174" s="10" t="s">
        <v>41</v>
      </c>
      <c r="L174" s="10" t="s">
        <v>41</v>
      </c>
      <c r="M174" s="10" t="s">
        <v>41</v>
      </c>
      <c r="N174" s="9" t="s">
        <v>35</v>
      </c>
    </row>
    <row r="175" customFormat="false" ht="22.35" hidden="false" customHeight="false" outlineLevel="0" collapsed="false">
      <c r="A175" s="7" t="s">
        <v>12</v>
      </c>
      <c r="B175" s="7" t="s">
        <v>734</v>
      </c>
      <c r="C175" s="7" t="s">
        <v>305</v>
      </c>
      <c r="D175" s="7" t="s">
        <v>750</v>
      </c>
      <c r="E175" s="7" t="s">
        <v>727</v>
      </c>
      <c r="F175" s="7" t="s">
        <v>139</v>
      </c>
      <c r="G175" s="7" t="s">
        <v>308</v>
      </c>
      <c r="H175" s="7" t="s">
        <v>81</v>
      </c>
      <c r="I175" s="7" t="s">
        <v>135</v>
      </c>
      <c r="J175" s="8" t="s">
        <v>34</v>
      </c>
      <c r="K175" s="10" t="s">
        <v>41</v>
      </c>
      <c r="L175" s="10" t="s">
        <v>41</v>
      </c>
      <c r="M175" s="10" t="s">
        <v>41</v>
      </c>
      <c r="N175" s="9" t="s">
        <v>35</v>
      </c>
    </row>
    <row r="176" customFormat="false" ht="22.35" hidden="false" customHeight="false" outlineLevel="0" collapsed="false">
      <c r="A176" s="7" t="s">
        <v>12</v>
      </c>
      <c r="B176" s="7" t="s">
        <v>751</v>
      </c>
      <c r="C176" s="7" t="s">
        <v>752</v>
      </c>
      <c r="D176" s="7" t="s">
        <v>753</v>
      </c>
      <c r="E176" s="7" t="s">
        <v>754</v>
      </c>
      <c r="F176" s="7" t="s">
        <v>30</v>
      </c>
      <c r="G176" s="7" t="s">
        <v>755</v>
      </c>
      <c r="H176" s="7" t="s">
        <v>419</v>
      </c>
      <c r="I176" s="7" t="s">
        <v>135</v>
      </c>
      <c r="J176" s="8" t="s">
        <v>34</v>
      </c>
      <c r="K176" s="10" t="s">
        <v>41</v>
      </c>
      <c r="L176" s="8" t="s">
        <v>34</v>
      </c>
      <c r="M176" s="10" t="s">
        <v>41</v>
      </c>
      <c r="N176" s="9" t="s">
        <v>35</v>
      </c>
    </row>
    <row r="177" customFormat="false" ht="22.35" hidden="false" customHeight="false" outlineLevel="0" collapsed="false">
      <c r="A177" s="7" t="s">
        <v>12</v>
      </c>
      <c r="B177" s="7" t="s">
        <v>751</v>
      </c>
      <c r="C177" s="7" t="s">
        <v>156</v>
      </c>
      <c r="D177" s="7" t="s">
        <v>756</v>
      </c>
      <c r="E177" s="7" t="s">
        <v>131</v>
      </c>
      <c r="F177" s="7" t="s">
        <v>132</v>
      </c>
      <c r="G177" s="7" t="s">
        <v>757</v>
      </c>
      <c r="H177" s="7" t="s">
        <v>679</v>
      </c>
      <c r="I177" s="7" t="s">
        <v>135</v>
      </c>
      <c r="J177" s="8" t="s">
        <v>34</v>
      </c>
      <c r="K177" s="10" t="s">
        <v>41</v>
      </c>
      <c r="L177" s="8" t="s">
        <v>34</v>
      </c>
      <c r="M177" s="10" t="s">
        <v>41</v>
      </c>
      <c r="N177" s="9" t="s">
        <v>35</v>
      </c>
    </row>
    <row r="178" customFormat="false" ht="22.35" hidden="false" customHeight="false" outlineLevel="0" collapsed="false">
      <c r="A178" s="7" t="s">
        <v>12</v>
      </c>
      <c r="B178" s="7" t="s">
        <v>751</v>
      </c>
      <c r="C178" s="7" t="s">
        <v>758</v>
      </c>
      <c r="D178" s="7" t="s">
        <v>759</v>
      </c>
      <c r="E178" s="7" t="s">
        <v>760</v>
      </c>
      <c r="F178" s="7" t="s">
        <v>245</v>
      </c>
      <c r="G178" s="7" t="s">
        <v>761</v>
      </c>
      <c r="H178" s="7" t="s">
        <v>134</v>
      </c>
      <c r="I178" s="7" t="s">
        <v>135</v>
      </c>
      <c r="J178" s="11" t="s">
        <v>68</v>
      </c>
      <c r="K178" s="10" t="s">
        <v>41</v>
      </c>
      <c r="L178" s="11" t="s">
        <v>68</v>
      </c>
      <c r="M178" s="10" t="s">
        <v>41</v>
      </c>
      <c r="N178" s="9" t="s">
        <v>35</v>
      </c>
    </row>
    <row r="179" customFormat="false" ht="22.35" hidden="false" customHeight="false" outlineLevel="0" collapsed="false">
      <c r="A179" s="7" t="s">
        <v>12</v>
      </c>
      <c r="B179" s="7" t="s">
        <v>762</v>
      </c>
      <c r="C179" s="7" t="s">
        <v>763</v>
      </c>
      <c r="D179" s="7" t="s">
        <v>764</v>
      </c>
      <c r="E179" s="7" t="s">
        <v>131</v>
      </c>
      <c r="F179" s="7" t="s">
        <v>400</v>
      </c>
      <c r="G179" s="7" t="s">
        <v>765</v>
      </c>
      <c r="H179" s="7" t="s">
        <v>766</v>
      </c>
      <c r="I179" s="7" t="s">
        <v>767</v>
      </c>
      <c r="J179" s="8" t="s">
        <v>34</v>
      </c>
      <c r="K179" s="10" t="s">
        <v>41</v>
      </c>
      <c r="L179" s="8" t="s">
        <v>34</v>
      </c>
      <c r="M179" s="10" t="s">
        <v>41</v>
      </c>
      <c r="N179" s="9" t="s">
        <v>35</v>
      </c>
    </row>
    <row r="180" customFormat="false" ht="22.35" hidden="false" customHeight="false" outlineLevel="0" collapsed="false">
      <c r="A180" s="7" t="s">
        <v>12</v>
      </c>
      <c r="B180" s="7" t="s">
        <v>762</v>
      </c>
      <c r="C180" s="7" t="s">
        <v>768</v>
      </c>
      <c r="D180" s="7" t="s">
        <v>769</v>
      </c>
      <c r="E180" s="7" t="s">
        <v>161</v>
      </c>
      <c r="F180" s="7" t="s">
        <v>770</v>
      </c>
      <c r="G180" s="7" t="s">
        <v>771</v>
      </c>
      <c r="H180" s="7" t="s">
        <v>772</v>
      </c>
      <c r="I180" s="7" t="s">
        <v>773</v>
      </c>
      <c r="J180" s="8" t="s">
        <v>34</v>
      </c>
      <c r="K180" s="8" t="s">
        <v>34</v>
      </c>
      <c r="L180" s="10" t="s">
        <v>41</v>
      </c>
      <c r="M180" s="8" t="s">
        <v>34</v>
      </c>
      <c r="N180" s="9" t="s">
        <v>35</v>
      </c>
    </row>
    <row r="181" customFormat="false" ht="22.35" hidden="false" customHeight="false" outlineLevel="0" collapsed="false">
      <c r="A181" s="7" t="s">
        <v>12</v>
      </c>
      <c r="B181" s="7" t="s">
        <v>762</v>
      </c>
      <c r="C181" s="7" t="s">
        <v>774</v>
      </c>
      <c r="D181" s="7" t="s">
        <v>775</v>
      </c>
      <c r="E181" s="7" t="s">
        <v>372</v>
      </c>
      <c r="F181" s="7" t="s">
        <v>139</v>
      </c>
      <c r="G181" s="7" t="s">
        <v>776</v>
      </c>
      <c r="H181" s="7" t="s">
        <v>777</v>
      </c>
      <c r="I181" s="7" t="s">
        <v>778</v>
      </c>
      <c r="J181" s="8" t="s">
        <v>34</v>
      </c>
      <c r="K181" s="8" t="s">
        <v>34</v>
      </c>
      <c r="L181" s="8" t="s">
        <v>34</v>
      </c>
      <c r="M181" s="8" t="s">
        <v>34</v>
      </c>
      <c r="N181" s="9" t="s">
        <v>35</v>
      </c>
    </row>
    <row r="182" customFormat="false" ht="22.35" hidden="false" customHeight="false" outlineLevel="0" collapsed="false">
      <c r="A182" s="7" t="s">
        <v>12</v>
      </c>
      <c r="B182" s="7" t="s">
        <v>762</v>
      </c>
      <c r="C182" s="7" t="s">
        <v>779</v>
      </c>
      <c r="D182" s="7" t="s">
        <v>780</v>
      </c>
      <c r="E182" s="7" t="s">
        <v>220</v>
      </c>
      <c r="F182" s="7" t="s">
        <v>139</v>
      </c>
      <c r="G182" s="7" t="s">
        <v>781</v>
      </c>
      <c r="H182" s="7" t="s">
        <v>134</v>
      </c>
      <c r="I182" s="7" t="s">
        <v>782</v>
      </c>
      <c r="J182" s="8" t="s">
        <v>34</v>
      </c>
      <c r="K182" s="8" t="s">
        <v>34</v>
      </c>
      <c r="L182" s="10" t="s">
        <v>41</v>
      </c>
      <c r="M182" s="8" t="s">
        <v>34</v>
      </c>
      <c r="N182" s="9" t="s">
        <v>35</v>
      </c>
    </row>
    <row r="183" customFormat="false" ht="22.35" hidden="false" customHeight="false" outlineLevel="0" collapsed="false">
      <c r="A183" s="7" t="s">
        <v>12</v>
      </c>
      <c r="B183" s="7" t="s">
        <v>762</v>
      </c>
      <c r="C183" s="7" t="s">
        <v>783</v>
      </c>
      <c r="D183" s="7" t="s">
        <v>784</v>
      </c>
      <c r="E183" s="7" t="s">
        <v>785</v>
      </c>
      <c r="F183" s="7" t="s">
        <v>59</v>
      </c>
      <c r="G183" s="7" t="s">
        <v>728</v>
      </c>
      <c r="H183" s="7" t="s">
        <v>786</v>
      </c>
      <c r="I183" s="7" t="s">
        <v>787</v>
      </c>
      <c r="J183" s="8" t="s">
        <v>34</v>
      </c>
      <c r="K183" s="8" t="s">
        <v>34</v>
      </c>
      <c r="L183" s="10" t="s">
        <v>41</v>
      </c>
      <c r="M183" s="8" t="s">
        <v>34</v>
      </c>
      <c r="N183" s="9" t="s">
        <v>35</v>
      </c>
    </row>
    <row r="184" customFormat="false" ht="15" hidden="false" customHeight="false" outlineLevel="0" collapsed="false">
      <c r="A184" s="7" t="s">
        <v>12</v>
      </c>
      <c r="B184" s="7" t="s">
        <v>762</v>
      </c>
      <c r="C184" s="7" t="s">
        <v>788</v>
      </c>
      <c r="D184" s="7" t="s">
        <v>789</v>
      </c>
      <c r="E184" s="7" t="s">
        <v>180</v>
      </c>
      <c r="F184" s="7" t="s">
        <v>790</v>
      </c>
      <c r="G184" s="7" t="s">
        <v>791</v>
      </c>
      <c r="H184" s="7" t="s">
        <v>81</v>
      </c>
      <c r="I184" s="7" t="s">
        <v>135</v>
      </c>
      <c r="J184" s="8" t="s">
        <v>34</v>
      </c>
      <c r="K184" s="10" t="s">
        <v>41</v>
      </c>
      <c r="L184" s="8" t="s">
        <v>34</v>
      </c>
      <c r="M184" s="10" t="s">
        <v>41</v>
      </c>
      <c r="N184" s="9" t="s">
        <v>35</v>
      </c>
    </row>
    <row r="185" customFormat="false" ht="22.35" hidden="false" customHeight="false" outlineLevel="0" collapsed="false">
      <c r="A185" s="7" t="s">
        <v>12</v>
      </c>
      <c r="B185" s="7" t="s">
        <v>762</v>
      </c>
      <c r="C185" s="7" t="s">
        <v>792</v>
      </c>
      <c r="D185" s="7" t="s">
        <v>793</v>
      </c>
      <c r="E185" s="7" t="s">
        <v>794</v>
      </c>
      <c r="F185" s="7" t="s">
        <v>795</v>
      </c>
      <c r="G185" s="7" t="s">
        <v>796</v>
      </c>
      <c r="H185" s="7" t="s">
        <v>797</v>
      </c>
      <c r="I185" s="7" t="s">
        <v>135</v>
      </c>
      <c r="J185" s="8" t="s">
        <v>34</v>
      </c>
      <c r="K185" s="10" t="s">
        <v>41</v>
      </c>
      <c r="L185" s="8" t="s">
        <v>34</v>
      </c>
      <c r="M185" s="10" t="s">
        <v>41</v>
      </c>
      <c r="N185" s="9" t="s">
        <v>35</v>
      </c>
    </row>
    <row r="186" customFormat="false" ht="15" hidden="false" customHeight="false" outlineLevel="0" collapsed="false">
      <c r="A186" s="7" t="s">
        <v>12</v>
      </c>
      <c r="B186" s="7" t="s">
        <v>762</v>
      </c>
      <c r="C186" s="7" t="s">
        <v>798</v>
      </c>
      <c r="D186" s="7" t="s">
        <v>799</v>
      </c>
      <c r="E186" s="7" t="s">
        <v>180</v>
      </c>
      <c r="F186" s="7" t="s">
        <v>139</v>
      </c>
      <c r="G186" s="7" t="s">
        <v>800</v>
      </c>
      <c r="H186" s="7" t="s">
        <v>134</v>
      </c>
      <c r="I186" s="7" t="s">
        <v>801</v>
      </c>
      <c r="J186" s="8" t="s">
        <v>34</v>
      </c>
      <c r="K186" s="8" t="s">
        <v>34</v>
      </c>
      <c r="L186" s="8" t="s">
        <v>34</v>
      </c>
      <c r="M186" s="10" t="s">
        <v>41</v>
      </c>
      <c r="N186" s="9" t="s">
        <v>35</v>
      </c>
    </row>
    <row r="187" customFormat="false" ht="22.35" hidden="false" customHeight="false" outlineLevel="0" collapsed="false">
      <c r="A187" s="7" t="s">
        <v>12</v>
      </c>
      <c r="B187" s="7" t="s">
        <v>762</v>
      </c>
      <c r="C187" s="7" t="s">
        <v>802</v>
      </c>
      <c r="D187" s="7" t="s">
        <v>803</v>
      </c>
      <c r="E187" s="7" t="s">
        <v>637</v>
      </c>
      <c r="F187" s="7" t="s">
        <v>139</v>
      </c>
      <c r="G187" s="7" t="s">
        <v>804</v>
      </c>
      <c r="H187" s="7" t="s">
        <v>805</v>
      </c>
      <c r="I187" s="7" t="s">
        <v>135</v>
      </c>
      <c r="J187" s="10" t="s">
        <v>41</v>
      </c>
      <c r="K187" s="10" t="s">
        <v>41</v>
      </c>
      <c r="L187" s="10" t="s">
        <v>41</v>
      </c>
      <c r="M187" s="10" t="s">
        <v>41</v>
      </c>
      <c r="N187" s="9" t="s">
        <v>35</v>
      </c>
    </row>
    <row r="188" customFormat="false" ht="22.35" hidden="false" customHeight="false" outlineLevel="0" collapsed="false">
      <c r="A188" s="7" t="s">
        <v>12</v>
      </c>
      <c r="B188" s="7" t="s">
        <v>762</v>
      </c>
      <c r="C188" s="7" t="s">
        <v>806</v>
      </c>
      <c r="D188" s="7" t="s">
        <v>775</v>
      </c>
      <c r="E188" s="7" t="s">
        <v>569</v>
      </c>
      <c r="F188" s="7" t="s">
        <v>86</v>
      </c>
      <c r="G188" s="7" t="s">
        <v>807</v>
      </c>
      <c r="H188" s="7" t="s">
        <v>808</v>
      </c>
      <c r="I188" s="7" t="s">
        <v>809</v>
      </c>
      <c r="J188" s="11" t="s">
        <v>68</v>
      </c>
      <c r="K188" s="10" t="s">
        <v>41</v>
      </c>
      <c r="L188" s="11" t="s">
        <v>68</v>
      </c>
      <c r="M188" s="10" t="s">
        <v>41</v>
      </c>
      <c r="N188" s="9" t="s">
        <v>35</v>
      </c>
    </row>
    <row r="189" customFormat="false" ht="22.35" hidden="false" customHeight="false" outlineLevel="0" collapsed="false">
      <c r="A189" s="7" t="s">
        <v>12</v>
      </c>
      <c r="B189" s="7" t="s">
        <v>810</v>
      </c>
      <c r="C189" s="7" t="s">
        <v>811</v>
      </c>
      <c r="D189" s="7" t="s">
        <v>812</v>
      </c>
      <c r="E189" s="7" t="s">
        <v>131</v>
      </c>
      <c r="F189" s="7" t="s">
        <v>273</v>
      </c>
      <c r="G189" s="7" t="s">
        <v>813</v>
      </c>
      <c r="H189" s="7" t="s">
        <v>134</v>
      </c>
      <c r="I189" s="7" t="s">
        <v>135</v>
      </c>
      <c r="J189" s="8" t="s">
        <v>34</v>
      </c>
      <c r="K189" s="11" t="s">
        <v>68</v>
      </c>
      <c r="L189" s="8" t="s">
        <v>34</v>
      </c>
      <c r="M189" s="11" t="s">
        <v>68</v>
      </c>
      <c r="N189" s="9" t="s">
        <v>35</v>
      </c>
    </row>
    <row r="190" customFormat="false" ht="22.35" hidden="false" customHeight="false" outlineLevel="0" collapsed="false">
      <c r="A190" s="7" t="s">
        <v>12</v>
      </c>
      <c r="B190" s="7" t="s">
        <v>810</v>
      </c>
      <c r="C190" s="7" t="s">
        <v>156</v>
      </c>
      <c r="D190" s="7" t="s">
        <v>814</v>
      </c>
      <c r="E190" s="7" t="s">
        <v>131</v>
      </c>
      <c r="F190" s="7" t="s">
        <v>132</v>
      </c>
      <c r="G190" s="7" t="s">
        <v>815</v>
      </c>
      <c r="H190" s="7" t="s">
        <v>134</v>
      </c>
      <c r="I190" s="7" t="s">
        <v>135</v>
      </c>
      <c r="J190" s="8" t="s">
        <v>34</v>
      </c>
      <c r="K190" s="10" t="s">
        <v>41</v>
      </c>
      <c r="L190" s="8" t="s">
        <v>34</v>
      </c>
      <c r="M190" s="10" t="s">
        <v>41</v>
      </c>
      <c r="N190" s="9" t="s">
        <v>35</v>
      </c>
    </row>
    <row r="191" customFormat="false" ht="22.35" hidden="false" customHeight="false" outlineLevel="0" collapsed="false">
      <c r="A191" s="7" t="s">
        <v>12</v>
      </c>
      <c r="B191" s="7" t="s">
        <v>810</v>
      </c>
      <c r="C191" s="7" t="s">
        <v>816</v>
      </c>
      <c r="D191" s="7" t="s">
        <v>817</v>
      </c>
      <c r="E191" s="7" t="s">
        <v>818</v>
      </c>
      <c r="F191" s="7" t="s">
        <v>139</v>
      </c>
      <c r="G191" s="7" t="s">
        <v>728</v>
      </c>
      <c r="H191" s="7" t="s">
        <v>81</v>
      </c>
      <c r="I191" s="7" t="s">
        <v>819</v>
      </c>
      <c r="J191" s="8" t="s">
        <v>34</v>
      </c>
      <c r="K191" s="10" t="s">
        <v>41</v>
      </c>
      <c r="L191" s="10" t="s">
        <v>41</v>
      </c>
      <c r="M191" s="10" t="s">
        <v>41</v>
      </c>
      <c r="N191" s="9" t="s">
        <v>35</v>
      </c>
    </row>
    <row r="192" customFormat="false" ht="22.35" hidden="false" customHeight="false" outlineLevel="0" collapsed="false">
      <c r="A192" s="7" t="s">
        <v>12</v>
      </c>
      <c r="B192" s="7" t="s">
        <v>810</v>
      </c>
      <c r="C192" s="7" t="s">
        <v>820</v>
      </c>
      <c r="D192" s="7" t="s">
        <v>812</v>
      </c>
      <c r="E192" s="7" t="s">
        <v>138</v>
      </c>
      <c r="F192" s="7" t="s">
        <v>273</v>
      </c>
      <c r="G192" s="7" t="s">
        <v>821</v>
      </c>
      <c r="H192" s="7" t="s">
        <v>134</v>
      </c>
      <c r="I192" s="7" t="s">
        <v>135</v>
      </c>
      <c r="J192" s="8" t="s">
        <v>34</v>
      </c>
      <c r="K192" s="11" t="s">
        <v>68</v>
      </c>
      <c r="L192" s="10" t="s">
        <v>41</v>
      </c>
      <c r="M192" s="11" t="s">
        <v>68</v>
      </c>
      <c r="N192" s="9" t="s">
        <v>35</v>
      </c>
    </row>
    <row r="193" customFormat="false" ht="22.35" hidden="false" customHeight="false" outlineLevel="0" collapsed="false">
      <c r="A193" s="7" t="s">
        <v>12</v>
      </c>
      <c r="B193" s="7" t="s">
        <v>810</v>
      </c>
      <c r="C193" s="7" t="s">
        <v>822</v>
      </c>
      <c r="D193" s="7" t="s">
        <v>817</v>
      </c>
      <c r="E193" s="7" t="s">
        <v>180</v>
      </c>
      <c r="F193" s="7" t="s">
        <v>823</v>
      </c>
      <c r="G193" s="7" t="s">
        <v>824</v>
      </c>
      <c r="H193" s="7" t="s">
        <v>825</v>
      </c>
      <c r="I193" s="7" t="s">
        <v>826</v>
      </c>
      <c r="J193" s="8" t="s">
        <v>34</v>
      </c>
      <c r="K193" s="8" t="s">
        <v>34</v>
      </c>
      <c r="L193" s="8" t="s">
        <v>34</v>
      </c>
      <c r="M193" s="10" t="s">
        <v>41</v>
      </c>
      <c r="N193" s="9" t="s">
        <v>35</v>
      </c>
    </row>
    <row r="194" customFormat="false" ht="22.35" hidden="false" customHeight="false" outlineLevel="0" collapsed="false">
      <c r="A194" s="7" t="s">
        <v>12</v>
      </c>
      <c r="B194" s="7" t="s">
        <v>827</v>
      </c>
      <c r="C194" s="7" t="s">
        <v>828</v>
      </c>
      <c r="D194" s="7" t="s">
        <v>829</v>
      </c>
      <c r="E194" s="7" t="s">
        <v>372</v>
      </c>
      <c r="F194" s="7" t="s">
        <v>139</v>
      </c>
      <c r="G194" s="7" t="s">
        <v>830</v>
      </c>
      <c r="H194" s="7" t="s">
        <v>831</v>
      </c>
      <c r="I194" s="7" t="s">
        <v>832</v>
      </c>
      <c r="J194" s="8" t="s">
        <v>34</v>
      </c>
      <c r="K194" s="10" t="s">
        <v>41</v>
      </c>
      <c r="L194" s="8" t="s">
        <v>34</v>
      </c>
      <c r="M194" s="10" t="s">
        <v>41</v>
      </c>
      <c r="N194" s="9" t="s">
        <v>35</v>
      </c>
    </row>
    <row r="195" customFormat="false" ht="22.35" hidden="false" customHeight="false" outlineLevel="0" collapsed="false">
      <c r="A195" s="7" t="s">
        <v>12</v>
      </c>
      <c r="B195" s="7" t="s">
        <v>827</v>
      </c>
      <c r="C195" s="7" t="s">
        <v>833</v>
      </c>
      <c r="D195" s="7" t="s">
        <v>834</v>
      </c>
      <c r="E195" s="7" t="s">
        <v>835</v>
      </c>
      <c r="F195" s="7" t="s">
        <v>139</v>
      </c>
      <c r="G195" s="7" t="s">
        <v>836</v>
      </c>
      <c r="H195" s="7" t="s">
        <v>260</v>
      </c>
      <c r="I195" s="7" t="s">
        <v>135</v>
      </c>
      <c r="J195" s="8" t="s">
        <v>34</v>
      </c>
      <c r="K195" s="10" t="s">
        <v>41</v>
      </c>
      <c r="L195" s="10" t="s">
        <v>41</v>
      </c>
      <c r="M195" s="10" t="s">
        <v>41</v>
      </c>
      <c r="N195" s="9" t="s">
        <v>35</v>
      </c>
    </row>
    <row r="196" customFormat="false" ht="15" hidden="false" customHeight="false" outlineLevel="0" collapsed="false">
      <c r="A196" s="7" t="s">
        <v>12</v>
      </c>
      <c r="B196" s="7" t="s">
        <v>827</v>
      </c>
      <c r="C196" s="7" t="s">
        <v>837</v>
      </c>
      <c r="D196" s="7" t="s">
        <v>829</v>
      </c>
      <c r="E196" s="7" t="s">
        <v>143</v>
      </c>
      <c r="F196" s="7" t="s">
        <v>30</v>
      </c>
      <c r="G196" s="7" t="s">
        <v>838</v>
      </c>
      <c r="H196" s="7" t="s">
        <v>134</v>
      </c>
      <c r="I196" s="7" t="s">
        <v>135</v>
      </c>
      <c r="J196" s="8" t="s">
        <v>34</v>
      </c>
      <c r="K196" s="10" t="s">
        <v>41</v>
      </c>
      <c r="L196" s="11" t="s">
        <v>68</v>
      </c>
      <c r="M196" s="10" t="s">
        <v>41</v>
      </c>
      <c r="N196" s="9" t="s">
        <v>35</v>
      </c>
    </row>
    <row r="197" customFormat="false" ht="15" hidden="false" customHeight="false" outlineLevel="0" collapsed="false">
      <c r="A197" s="7" t="s">
        <v>12</v>
      </c>
      <c r="B197" s="7" t="s">
        <v>827</v>
      </c>
      <c r="C197" s="7" t="s">
        <v>839</v>
      </c>
      <c r="D197" s="7" t="s">
        <v>840</v>
      </c>
      <c r="E197" s="7" t="s">
        <v>180</v>
      </c>
      <c r="F197" s="7" t="s">
        <v>139</v>
      </c>
      <c r="G197" s="7" t="s">
        <v>841</v>
      </c>
      <c r="H197" s="7" t="s">
        <v>842</v>
      </c>
      <c r="I197" s="7" t="s">
        <v>843</v>
      </c>
      <c r="J197" s="8" t="s">
        <v>34</v>
      </c>
      <c r="K197" s="10" t="s">
        <v>41</v>
      </c>
      <c r="L197" s="8" t="s">
        <v>34</v>
      </c>
      <c r="M197" s="10" t="s">
        <v>41</v>
      </c>
      <c r="N197" s="9" t="s">
        <v>35</v>
      </c>
    </row>
    <row r="198" customFormat="false" ht="22.35" hidden="false" customHeight="false" outlineLevel="0" collapsed="false">
      <c r="A198" s="7" t="s">
        <v>12</v>
      </c>
      <c r="B198" s="7" t="s">
        <v>827</v>
      </c>
      <c r="C198" s="7" t="s">
        <v>844</v>
      </c>
      <c r="D198" s="7" t="s">
        <v>829</v>
      </c>
      <c r="E198" s="7" t="s">
        <v>845</v>
      </c>
      <c r="F198" s="7" t="s">
        <v>139</v>
      </c>
      <c r="G198" s="7" t="s">
        <v>846</v>
      </c>
      <c r="H198" s="7" t="s">
        <v>81</v>
      </c>
      <c r="I198" s="7" t="s">
        <v>847</v>
      </c>
      <c r="J198" s="8" t="s">
        <v>34</v>
      </c>
      <c r="K198" s="8" t="s">
        <v>34</v>
      </c>
      <c r="L198" s="10" t="s">
        <v>41</v>
      </c>
      <c r="M198" s="8" t="s">
        <v>34</v>
      </c>
      <c r="N198" s="9" t="s">
        <v>35</v>
      </c>
    </row>
    <row r="199" customFormat="false" ht="15" hidden="false" customHeight="false" outlineLevel="0" collapsed="false">
      <c r="A199" s="7" t="s">
        <v>12</v>
      </c>
      <c r="B199" s="7" t="s">
        <v>848</v>
      </c>
      <c r="C199" s="7" t="s">
        <v>156</v>
      </c>
      <c r="D199" s="7" t="s">
        <v>849</v>
      </c>
      <c r="E199" s="7" t="s">
        <v>131</v>
      </c>
      <c r="F199" s="7" t="s">
        <v>132</v>
      </c>
      <c r="G199" s="7" t="s">
        <v>850</v>
      </c>
      <c r="H199" s="7" t="s">
        <v>134</v>
      </c>
      <c r="I199" s="7" t="s">
        <v>135</v>
      </c>
      <c r="J199" s="8" t="s">
        <v>34</v>
      </c>
      <c r="K199" s="10" t="s">
        <v>41</v>
      </c>
      <c r="L199" s="8" t="s">
        <v>34</v>
      </c>
      <c r="M199" s="10" t="s">
        <v>41</v>
      </c>
      <c r="N199" s="9" t="s">
        <v>35</v>
      </c>
    </row>
    <row r="200" customFormat="false" ht="15" hidden="false" customHeight="false" outlineLevel="0" collapsed="false">
      <c r="A200" s="7" t="s">
        <v>12</v>
      </c>
      <c r="B200" s="7" t="s">
        <v>848</v>
      </c>
      <c r="C200" s="7" t="s">
        <v>851</v>
      </c>
      <c r="D200" s="7" t="s">
        <v>852</v>
      </c>
      <c r="E200" s="7" t="s">
        <v>161</v>
      </c>
      <c r="F200" s="7" t="s">
        <v>139</v>
      </c>
      <c r="G200" s="7" t="s">
        <v>853</v>
      </c>
      <c r="H200" s="7" t="s">
        <v>854</v>
      </c>
      <c r="I200" s="7" t="s">
        <v>135</v>
      </c>
      <c r="J200" s="8" t="s">
        <v>34</v>
      </c>
      <c r="K200" s="10" t="s">
        <v>41</v>
      </c>
      <c r="L200" s="10" t="s">
        <v>41</v>
      </c>
      <c r="M200" s="10" t="s">
        <v>41</v>
      </c>
      <c r="N200" s="9" t="s">
        <v>35</v>
      </c>
    </row>
    <row r="201" customFormat="false" ht="22.35" hidden="false" customHeight="false" outlineLevel="0" collapsed="false">
      <c r="A201" s="7" t="s">
        <v>12</v>
      </c>
      <c r="B201" s="7" t="s">
        <v>848</v>
      </c>
      <c r="C201" s="7" t="s">
        <v>855</v>
      </c>
      <c r="D201" s="7" t="s">
        <v>852</v>
      </c>
      <c r="E201" s="7" t="s">
        <v>856</v>
      </c>
      <c r="F201" s="7" t="s">
        <v>139</v>
      </c>
      <c r="G201" s="7" t="s">
        <v>857</v>
      </c>
      <c r="H201" s="7" t="s">
        <v>854</v>
      </c>
      <c r="I201" s="7" t="s">
        <v>135</v>
      </c>
      <c r="J201" s="8" t="s">
        <v>34</v>
      </c>
      <c r="K201" s="10" t="s">
        <v>41</v>
      </c>
      <c r="L201" s="10" t="s">
        <v>41</v>
      </c>
      <c r="M201" s="10" t="s">
        <v>41</v>
      </c>
      <c r="N201" s="9" t="s">
        <v>35</v>
      </c>
    </row>
    <row r="202" customFormat="false" ht="22.35" hidden="false" customHeight="false" outlineLevel="0" collapsed="false">
      <c r="A202" s="7" t="s">
        <v>12</v>
      </c>
      <c r="B202" s="7" t="s">
        <v>848</v>
      </c>
      <c r="C202" s="7" t="s">
        <v>858</v>
      </c>
      <c r="D202" s="7" t="s">
        <v>852</v>
      </c>
      <c r="E202" s="7" t="s">
        <v>347</v>
      </c>
      <c r="F202" s="7" t="s">
        <v>348</v>
      </c>
      <c r="G202" s="7" t="s">
        <v>859</v>
      </c>
      <c r="H202" s="7" t="s">
        <v>854</v>
      </c>
      <c r="I202" s="7" t="s">
        <v>135</v>
      </c>
      <c r="J202" s="10" t="s">
        <v>41</v>
      </c>
      <c r="K202" s="8" t="s">
        <v>34</v>
      </c>
      <c r="L202" s="10" t="s">
        <v>41</v>
      </c>
      <c r="M202" s="8" t="s">
        <v>34</v>
      </c>
      <c r="N202" s="9" t="s">
        <v>35</v>
      </c>
    </row>
    <row r="203" customFormat="false" ht="22.35" hidden="false" customHeight="false" outlineLevel="0" collapsed="false">
      <c r="A203" s="7" t="s">
        <v>12</v>
      </c>
      <c r="B203" s="7" t="s">
        <v>848</v>
      </c>
      <c r="C203" s="7" t="s">
        <v>860</v>
      </c>
      <c r="D203" s="7" t="s">
        <v>861</v>
      </c>
      <c r="E203" s="7" t="s">
        <v>637</v>
      </c>
      <c r="F203" s="7" t="s">
        <v>139</v>
      </c>
      <c r="G203" s="7" t="s">
        <v>862</v>
      </c>
      <c r="H203" s="7" t="s">
        <v>863</v>
      </c>
      <c r="I203" s="7" t="s">
        <v>135</v>
      </c>
      <c r="J203" s="10" t="s">
        <v>41</v>
      </c>
      <c r="K203" s="10" t="s">
        <v>41</v>
      </c>
      <c r="L203" s="10" t="s">
        <v>41</v>
      </c>
      <c r="M203" s="10" t="s">
        <v>41</v>
      </c>
      <c r="N203" s="9" t="s">
        <v>35</v>
      </c>
    </row>
    <row r="204" customFormat="false" ht="22.35" hidden="false" customHeight="false" outlineLevel="0" collapsed="false">
      <c r="A204" s="7" t="s">
        <v>12</v>
      </c>
      <c r="B204" s="7" t="s">
        <v>864</v>
      </c>
      <c r="C204" s="7" t="s">
        <v>865</v>
      </c>
      <c r="D204" s="7" t="s">
        <v>866</v>
      </c>
      <c r="E204" s="7" t="s">
        <v>131</v>
      </c>
      <c r="F204" s="7" t="s">
        <v>30</v>
      </c>
      <c r="G204" s="7" t="s">
        <v>867</v>
      </c>
      <c r="H204" s="7" t="s">
        <v>134</v>
      </c>
      <c r="I204" s="7" t="s">
        <v>135</v>
      </c>
      <c r="J204" s="8" t="s">
        <v>34</v>
      </c>
      <c r="K204" s="10" t="s">
        <v>41</v>
      </c>
      <c r="L204" s="8" t="s">
        <v>34</v>
      </c>
      <c r="M204" s="10" t="s">
        <v>41</v>
      </c>
      <c r="N204" s="9" t="s">
        <v>35</v>
      </c>
    </row>
    <row r="205" customFormat="false" ht="22.35" hidden="false" customHeight="false" outlineLevel="0" collapsed="false">
      <c r="A205" s="7" t="s">
        <v>12</v>
      </c>
      <c r="B205" s="7" t="s">
        <v>864</v>
      </c>
      <c r="C205" s="7" t="s">
        <v>342</v>
      </c>
      <c r="D205" s="7" t="s">
        <v>866</v>
      </c>
      <c r="E205" s="7" t="s">
        <v>131</v>
      </c>
      <c r="F205" s="7" t="s">
        <v>273</v>
      </c>
      <c r="G205" s="7" t="s">
        <v>868</v>
      </c>
      <c r="H205" s="7" t="s">
        <v>134</v>
      </c>
      <c r="I205" s="7" t="s">
        <v>135</v>
      </c>
      <c r="J205" s="8" t="s">
        <v>34</v>
      </c>
      <c r="K205" s="11" t="s">
        <v>68</v>
      </c>
      <c r="L205" s="8" t="s">
        <v>34</v>
      </c>
      <c r="M205" s="11" t="s">
        <v>68</v>
      </c>
      <c r="N205" s="9" t="s">
        <v>35</v>
      </c>
    </row>
    <row r="206" customFormat="false" ht="22.35" hidden="false" customHeight="false" outlineLevel="0" collapsed="false">
      <c r="A206" s="7" t="s">
        <v>12</v>
      </c>
      <c r="B206" s="7" t="s">
        <v>864</v>
      </c>
      <c r="C206" s="7" t="s">
        <v>869</v>
      </c>
      <c r="D206" s="7" t="s">
        <v>870</v>
      </c>
      <c r="E206" s="7" t="s">
        <v>131</v>
      </c>
      <c r="F206" s="7" t="s">
        <v>400</v>
      </c>
      <c r="G206" s="7" t="s">
        <v>871</v>
      </c>
      <c r="H206" s="7" t="s">
        <v>766</v>
      </c>
      <c r="I206" s="7" t="s">
        <v>872</v>
      </c>
      <c r="J206" s="8" t="s">
        <v>34</v>
      </c>
      <c r="K206" s="10" t="s">
        <v>41</v>
      </c>
      <c r="L206" s="8" t="s">
        <v>34</v>
      </c>
      <c r="M206" s="10" t="s">
        <v>41</v>
      </c>
      <c r="N206" s="9" t="s">
        <v>35</v>
      </c>
    </row>
    <row r="207" customFormat="false" ht="22.35" hidden="false" customHeight="false" outlineLevel="0" collapsed="false">
      <c r="A207" s="7" t="s">
        <v>12</v>
      </c>
      <c r="B207" s="7" t="s">
        <v>864</v>
      </c>
      <c r="C207" s="7" t="s">
        <v>873</v>
      </c>
      <c r="D207" s="7" t="s">
        <v>874</v>
      </c>
      <c r="E207" s="7" t="s">
        <v>637</v>
      </c>
      <c r="F207" s="7" t="s">
        <v>139</v>
      </c>
      <c r="G207" s="7" t="s">
        <v>875</v>
      </c>
      <c r="H207" s="7" t="s">
        <v>876</v>
      </c>
      <c r="I207" s="7" t="s">
        <v>135</v>
      </c>
      <c r="J207" s="10" t="s">
        <v>41</v>
      </c>
      <c r="K207" s="10" t="s">
        <v>41</v>
      </c>
      <c r="L207" s="10" t="s">
        <v>41</v>
      </c>
      <c r="M207" s="10" t="s">
        <v>41</v>
      </c>
      <c r="N207" s="9" t="s">
        <v>35</v>
      </c>
    </row>
    <row r="208" customFormat="false" ht="22.35" hidden="false" customHeight="false" outlineLevel="0" collapsed="false">
      <c r="A208" s="7" t="s">
        <v>12</v>
      </c>
      <c r="B208" s="7" t="s">
        <v>877</v>
      </c>
      <c r="C208" s="7" t="s">
        <v>878</v>
      </c>
      <c r="D208" s="7" t="s">
        <v>879</v>
      </c>
      <c r="E208" s="7" t="s">
        <v>880</v>
      </c>
      <c r="F208" s="7" t="s">
        <v>30</v>
      </c>
      <c r="G208" s="7" t="s">
        <v>881</v>
      </c>
      <c r="H208" s="7" t="s">
        <v>134</v>
      </c>
      <c r="I208" s="7" t="s">
        <v>882</v>
      </c>
      <c r="J208" s="8" t="s">
        <v>34</v>
      </c>
      <c r="K208" s="8" t="s">
        <v>34</v>
      </c>
      <c r="L208" s="10" t="s">
        <v>41</v>
      </c>
      <c r="M208" s="10" t="s">
        <v>41</v>
      </c>
      <c r="N208" s="9" t="s">
        <v>35</v>
      </c>
    </row>
    <row r="209" customFormat="false" ht="22.35" hidden="false" customHeight="false" outlineLevel="0" collapsed="false">
      <c r="A209" s="7" t="s">
        <v>12</v>
      </c>
      <c r="B209" s="7" t="s">
        <v>877</v>
      </c>
      <c r="C209" s="7" t="s">
        <v>883</v>
      </c>
      <c r="D209" s="7" t="s">
        <v>884</v>
      </c>
      <c r="E209" s="7" t="s">
        <v>131</v>
      </c>
      <c r="F209" s="7" t="s">
        <v>400</v>
      </c>
      <c r="G209" s="7" t="s">
        <v>885</v>
      </c>
      <c r="H209" s="7" t="s">
        <v>886</v>
      </c>
      <c r="I209" s="7" t="s">
        <v>135</v>
      </c>
      <c r="J209" s="8" t="s">
        <v>34</v>
      </c>
      <c r="K209" s="10" t="s">
        <v>41</v>
      </c>
      <c r="L209" s="8" t="s">
        <v>34</v>
      </c>
      <c r="M209" s="10" t="s">
        <v>41</v>
      </c>
      <c r="N209" s="9" t="s">
        <v>35</v>
      </c>
    </row>
    <row r="210" customFormat="false" ht="22.35" hidden="false" customHeight="false" outlineLevel="0" collapsed="false">
      <c r="A210" s="7" t="s">
        <v>12</v>
      </c>
      <c r="B210" s="7" t="s">
        <v>877</v>
      </c>
      <c r="C210" s="7" t="s">
        <v>887</v>
      </c>
      <c r="D210" s="7" t="s">
        <v>888</v>
      </c>
      <c r="E210" s="7" t="s">
        <v>637</v>
      </c>
      <c r="F210" s="7" t="s">
        <v>139</v>
      </c>
      <c r="G210" s="7" t="s">
        <v>889</v>
      </c>
      <c r="H210" s="7" t="s">
        <v>890</v>
      </c>
      <c r="I210" s="7" t="s">
        <v>135</v>
      </c>
      <c r="J210" s="10" t="s">
        <v>41</v>
      </c>
      <c r="K210" s="10" t="s">
        <v>41</v>
      </c>
      <c r="L210" s="10" t="s">
        <v>41</v>
      </c>
      <c r="M210" s="10" t="s">
        <v>41</v>
      </c>
      <c r="N210" s="9" t="s">
        <v>35</v>
      </c>
    </row>
    <row r="211" customFormat="false" ht="22.35" hidden="false" customHeight="false" outlineLevel="0" collapsed="false">
      <c r="A211" s="7" t="s">
        <v>12</v>
      </c>
      <c r="B211" s="7" t="s">
        <v>891</v>
      </c>
      <c r="C211" s="7" t="s">
        <v>892</v>
      </c>
      <c r="D211" s="7" t="s">
        <v>893</v>
      </c>
      <c r="E211" s="7" t="s">
        <v>894</v>
      </c>
      <c r="F211" s="7" t="s">
        <v>895</v>
      </c>
      <c r="G211" s="7" t="s">
        <v>896</v>
      </c>
      <c r="H211" s="7" t="s">
        <v>134</v>
      </c>
      <c r="I211" s="7" t="s">
        <v>135</v>
      </c>
      <c r="J211" s="8" t="s">
        <v>34</v>
      </c>
      <c r="K211" s="10" t="s">
        <v>41</v>
      </c>
      <c r="L211" s="8" t="s">
        <v>34</v>
      </c>
      <c r="M211" s="10" t="s">
        <v>41</v>
      </c>
      <c r="N211" s="9" t="s">
        <v>35</v>
      </c>
    </row>
    <row r="212" customFormat="false" ht="15" hidden="false" customHeight="false" outlineLevel="0" collapsed="false">
      <c r="A212" s="7" t="s">
        <v>12</v>
      </c>
      <c r="B212" s="7" t="s">
        <v>891</v>
      </c>
      <c r="C212" s="7" t="s">
        <v>156</v>
      </c>
      <c r="D212" s="7" t="s">
        <v>897</v>
      </c>
      <c r="E212" s="7" t="s">
        <v>131</v>
      </c>
      <c r="F212" s="7" t="s">
        <v>400</v>
      </c>
      <c r="G212" s="7" t="s">
        <v>898</v>
      </c>
      <c r="H212" s="7" t="s">
        <v>302</v>
      </c>
      <c r="I212" s="7" t="s">
        <v>135</v>
      </c>
      <c r="J212" s="8" t="s">
        <v>34</v>
      </c>
      <c r="K212" s="10" t="s">
        <v>41</v>
      </c>
      <c r="L212" s="8" t="s">
        <v>34</v>
      </c>
      <c r="M212" s="10" t="s">
        <v>41</v>
      </c>
      <c r="N212" s="9" t="s">
        <v>35</v>
      </c>
    </row>
    <row r="213" customFormat="false" ht="22.35" hidden="false" customHeight="false" outlineLevel="0" collapsed="false">
      <c r="A213" s="7" t="s">
        <v>12</v>
      </c>
      <c r="B213" s="7" t="s">
        <v>891</v>
      </c>
      <c r="C213" s="7" t="s">
        <v>899</v>
      </c>
      <c r="D213" s="7" t="s">
        <v>900</v>
      </c>
      <c r="E213" s="7" t="s">
        <v>901</v>
      </c>
      <c r="F213" s="7" t="s">
        <v>245</v>
      </c>
      <c r="G213" s="7" t="s">
        <v>902</v>
      </c>
      <c r="H213" s="7" t="s">
        <v>134</v>
      </c>
      <c r="I213" s="7" t="s">
        <v>135</v>
      </c>
      <c r="J213" s="8" t="s">
        <v>34</v>
      </c>
      <c r="K213" s="10" t="s">
        <v>41</v>
      </c>
      <c r="L213" s="11" t="s">
        <v>68</v>
      </c>
      <c r="M213" s="10" t="s">
        <v>41</v>
      </c>
      <c r="N213" s="9" t="s">
        <v>35</v>
      </c>
    </row>
    <row r="214" customFormat="false" ht="15" hidden="false" customHeight="false" outlineLevel="0" collapsed="false">
      <c r="A214" s="7" t="s">
        <v>12</v>
      </c>
      <c r="B214" s="7" t="s">
        <v>903</v>
      </c>
      <c r="C214" s="7" t="s">
        <v>156</v>
      </c>
      <c r="D214" s="7" t="s">
        <v>904</v>
      </c>
      <c r="E214" s="7" t="s">
        <v>131</v>
      </c>
      <c r="F214" s="7" t="s">
        <v>132</v>
      </c>
      <c r="G214" s="7" t="s">
        <v>905</v>
      </c>
      <c r="H214" s="7" t="s">
        <v>134</v>
      </c>
      <c r="I214" s="7" t="s">
        <v>135</v>
      </c>
      <c r="J214" s="8" t="s">
        <v>34</v>
      </c>
      <c r="K214" s="10" t="s">
        <v>41</v>
      </c>
      <c r="L214" s="8" t="s">
        <v>34</v>
      </c>
      <c r="M214" s="10" t="s">
        <v>41</v>
      </c>
      <c r="N214" s="9" t="s">
        <v>35</v>
      </c>
    </row>
    <row r="215" customFormat="false" ht="22.35" hidden="false" customHeight="false" outlineLevel="0" collapsed="false">
      <c r="A215" s="7" t="s">
        <v>12</v>
      </c>
      <c r="B215" s="7" t="s">
        <v>903</v>
      </c>
      <c r="C215" s="7" t="s">
        <v>906</v>
      </c>
      <c r="D215" s="7" t="s">
        <v>907</v>
      </c>
      <c r="E215" s="7" t="s">
        <v>908</v>
      </c>
      <c r="F215" s="7" t="s">
        <v>139</v>
      </c>
      <c r="G215" s="7" t="s">
        <v>479</v>
      </c>
      <c r="H215" s="7" t="s">
        <v>260</v>
      </c>
      <c r="I215" s="7" t="s">
        <v>135</v>
      </c>
      <c r="J215" s="8" t="s">
        <v>34</v>
      </c>
      <c r="K215" s="10" t="s">
        <v>41</v>
      </c>
      <c r="L215" s="10" t="s">
        <v>41</v>
      </c>
      <c r="M215" s="10" t="s">
        <v>41</v>
      </c>
      <c r="N215" s="9" t="s">
        <v>35</v>
      </c>
    </row>
    <row r="216" customFormat="false" ht="15" hidden="false" customHeight="false" outlineLevel="0" collapsed="false">
      <c r="A216" s="7" t="s">
        <v>12</v>
      </c>
      <c r="B216" s="7" t="s">
        <v>903</v>
      </c>
      <c r="C216" s="7" t="s">
        <v>909</v>
      </c>
      <c r="D216" s="7" t="s">
        <v>910</v>
      </c>
      <c r="E216" s="7" t="s">
        <v>146</v>
      </c>
      <c r="F216" s="7" t="s">
        <v>99</v>
      </c>
      <c r="G216" s="7" t="s">
        <v>911</v>
      </c>
      <c r="H216" s="7" t="s">
        <v>81</v>
      </c>
      <c r="I216" s="7" t="s">
        <v>135</v>
      </c>
      <c r="J216" s="8" t="s">
        <v>34</v>
      </c>
      <c r="K216" s="10" t="s">
        <v>41</v>
      </c>
      <c r="L216" s="11" t="s">
        <v>68</v>
      </c>
      <c r="M216" s="10" t="s">
        <v>41</v>
      </c>
      <c r="N216" s="9" t="s">
        <v>35</v>
      </c>
    </row>
    <row r="217" customFormat="false" ht="22.35" hidden="false" customHeight="false" outlineLevel="0" collapsed="false">
      <c r="A217" s="7" t="s">
        <v>12</v>
      </c>
      <c r="B217" s="7" t="s">
        <v>912</v>
      </c>
      <c r="C217" s="7" t="s">
        <v>913</v>
      </c>
      <c r="D217" s="7" t="s">
        <v>914</v>
      </c>
      <c r="E217" s="7" t="s">
        <v>64</v>
      </c>
      <c r="F217" s="7" t="s">
        <v>139</v>
      </c>
      <c r="G217" s="7" t="s">
        <v>915</v>
      </c>
      <c r="H217" s="7" t="s">
        <v>134</v>
      </c>
      <c r="I217" s="7" t="s">
        <v>135</v>
      </c>
      <c r="J217" s="8" t="s">
        <v>34</v>
      </c>
      <c r="K217" s="10" t="s">
        <v>41</v>
      </c>
      <c r="L217" s="11" t="s">
        <v>68</v>
      </c>
      <c r="M217" s="10" t="s">
        <v>41</v>
      </c>
      <c r="N217" s="9" t="s">
        <v>35</v>
      </c>
    </row>
    <row r="218" customFormat="false" ht="22.35" hidden="false" customHeight="false" outlineLevel="0" collapsed="false">
      <c r="A218" s="7" t="s">
        <v>12</v>
      </c>
      <c r="B218" s="7" t="s">
        <v>912</v>
      </c>
      <c r="C218" s="7" t="s">
        <v>916</v>
      </c>
      <c r="D218" s="7" t="s">
        <v>914</v>
      </c>
      <c r="E218" s="7" t="s">
        <v>353</v>
      </c>
      <c r="F218" s="7" t="s">
        <v>139</v>
      </c>
      <c r="G218" s="7" t="s">
        <v>728</v>
      </c>
      <c r="H218" s="7" t="s">
        <v>81</v>
      </c>
      <c r="I218" s="7" t="s">
        <v>461</v>
      </c>
      <c r="J218" s="8" t="s">
        <v>34</v>
      </c>
      <c r="K218" s="8" t="s">
        <v>34</v>
      </c>
      <c r="L218" s="10" t="s">
        <v>41</v>
      </c>
      <c r="M218" s="10" t="s">
        <v>41</v>
      </c>
      <c r="N218" s="9" t="s">
        <v>35</v>
      </c>
    </row>
    <row r="219" customFormat="false" ht="22.35" hidden="false" customHeight="false" outlineLevel="0" collapsed="false">
      <c r="A219" s="7" t="s">
        <v>12</v>
      </c>
      <c r="B219" s="7" t="s">
        <v>917</v>
      </c>
      <c r="C219" s="7" t="s">
        <v>918</v>
      </c>
      <c r="D219" s="7" t="s">
        <v>919</v>
      </c>
      <c r="E219" s="7" t="s">
        <v>131</v>
      </c>
      <c r="F219" s="7" t="s">
        <v>400</v>
      </c>
      <c r="G219" s="7" t="s">
        <v>920</v>
      </c>
      <c r="H219" s="7" t="s">
        <v>921</v>
      </c>
      <c r="I219" s="7" t="s">
        <v>135</v>
      </c>
      <c r="J219" s="8" t="s">
        <v>34</v>
      </c>
      <c r="K219" s="10" t="s">
        <v>41</v>
      </c>
      <c r="L219" s="8" t="s">
        <v>34</v>
      </c>
      <c r="M219" s="10" t="s">
        <v>41</v>
      </c>
      <c r="N219" s="9" t="s">
        <v>35</v>
      </c>
    </row>
    <row r="220" customFormat="false" ht="15" hidden="false" customHeight="false" outlineLevel="0" collapsed="false">
      <c r="A220" s="7" t="s">
        <v>12</v>
      </c>
      <c r="B220" s="7" t="s">
        <v>917</v>
      </c>
      <c r="C220" s="7" t="s">
        <v>922</v>
      </c>
      <c r="D220" s="7" t="s">
        <v>923</v>
      </c>
      <c r="E220" s="7" t="s">
        <v>924</v>
      </c>
      <c r="F220" s="7" t="s">
        <v>204</v>
      </c>
      <c r="G220" s="7" t="s">
        <v>925</v>
      </c>
      <c r="H220" s="7" t="s">
        <v>926</v>
      </c>
      <c r="I220" s="7" t="s">
        <v>135</v>
      </c>
      <c r="J220" s="8" t="s">
        <v>34</v>
      </c>
      <c r="K220" s="8" t="s">
        <v>34</v>
      </c>
      <c r="L220" s="10" t="s">
        <v>41</v>
      </c>
      <c r="M220" s="8" t="s">
        <v>34</v>
      </c>
      <c r="N220" s="9" t="s">
        <v>35</v>
      </c>
    </row>
    <row r="221" customFormat="false" ht="22.35" hidden="false" customHeight="false" outlineLevel="0" collapsed="false">
      <c r="A221" s="7" t="s">
        <v>12</v>
      </c>
      <c r="B221" s="7" t="s">
        <v>917</v>
      </c>
      <c r="C221" s="7" t="s">
        <v>927</v>
      </c>
      <c r="D221" s="7" t="s">
        <v>928</v>
      </c>
      <c r="E221" s="7" t="s">
        <v>929</v>
      </c>
      <c r="F221" s="7" t="s">
        <v>30</v>
      </c>
      <c r="G221" s="7" t="s">
        <v>930</v>
      </c>
      <c r="H221" s="7" t="s">
        <v>134</v>
      </c>
      <c r="I221" s="7" t="s">
        <v>135</v>
      </c>
      <c r="J221" s="8" t="s">
        <v>34</v>
      </c>
      <c r="K221" s="10" t="s">
        <v>41</v>
      </c>
      <c r="L221" s="8" t="s">
        <v>34</v>
      </c>
      <c r="M221" s="10" t="s">
        <v>41</v>
      </c>
      <c r="N221" s="9" t="s">
        <v>35</v>
      </c>
    </row>
    <row r="222" customFormat="false" ht="22.35" hidden="false" customHeight="false" outlineLevel="0" collapsed="false">
      <c r="A222" s="7" t="s">
        <v>12</v>
      </c>
      <c r="B222" s="7" t="s">
        <v>917</v>
      </c>
      <c r="C222" s="7" t="s">
        <v>931</v>
      </c>
      <c r="D222" s="7" t="s">
        <v>932</v>
      </c>
      <c r="E222" s="7" t="s">
        <v>933</v>
      </c>
      <c r="F222" s="7" t="s">
        <v>934</v>
      </c>
      <c r="G222" s="7" t="s">
        <v>935</v>
      </c>
      <c r="H222" s="7" t="s">
        <v>936</v>
      </c>
      <c r="I222" s="7" t="s">
        <v>135</v>
      </c>
      <c r="J222" s="8" t="s">
        <v>34</v>
      </c>
      <c r="K222" s="10" t="s">
        <v>41</v>
      </c>
      <c r="L222" s="10" t="s">
        <v>41</v>
      </c>
      <c r="M222" s="10" t="s">
        <v>41</v>
      </c>
      <c r="N222" s="9" t="s">
        <v>35</v>
      </c>
    </row>
  </sheetData>
  <autoFilter ref="A1:N222"/>
  <hyperlinks>
    <hyperlink ref="N2" r:id="rId1" display="link"/>
    <hyperlink ref="N3" r:id="rId2" display="link"/>
    <hyperlink ref="N4" r:id="rId3" display="link"/>
    <hyperlink ref="N5" r:id="rId4" display="link"/>
    <hyperlink ref="N6" r:id="rId5" display="link"/>
    <hyperlink ref="N7" r:id="rId6" display="link"/>
    <hyperlink ref="N8" r:id="rId7" display="link"/>
    <hyperlink ref="N9" r:id="rId8" display="link"/>
    <hyperlink ref="N10" r:id="rId9" display="link"/>
    <hyperlink ref="N11" r:id="rId10" display="link"/>
    <hyperlink ref="N12" r:id="rId11" display="link"/>
    <hyperlink ref="N13" r:id="rId12" display="link"/>
    <hyperlink ref="N14" r:id="rId13" display="link"/>
    <hyperlink ref="N15" r:id="rId14" display="link"/>
    <hyperlink ref="N16" r:id="rId15" display="link"/>
    <hyperlink ref="N17" r:id="rId16" display="link"/>
    <hyperlink ref="N18" r:id="rId17" display="link"/>
    <hyperlink ref="N19" r:id="rId18" display="link"/>
    <hyperlink ref="N20" r:id="rId19" display="link"/>
    <hyperlink ref="N21" r:id="rId20" display="link"/>
    <hyperlink ref="N22" r:id="rId21" display="link"/>
    <hyperlink ref="N23" r:id="rId22" display="link"/>
    <hyperlink ref="N24" r:id="rId23" display="link"/>
    <hyperlink ref="N25" r:id="rId24" display="link"/>
    <hyperlink ref="N26" r:id="rId25" display="link"/>
    <hyperlink ref="N27" r:id="rId26" display="link"/>
    <hyperlink ref="N28" r:id="rId27" display="link"/>
    <hyperlink ref="N29" r:id="rId28" display="link"/>
    <hyperlink ref="N30" r:id="rId29" display="link"/>
    <hyperlink ref="N31" r:id="rId30" display="link"/>
    <hyperlink ref="N32" r:id="rId31" display="link"/>
    <hyperlink ref="N33" r:id="rId32" display="link"/>
    <hyperlink ref="N34" r:id="rId33" display="link"/>
    <hyperlink ref="N35" r:id="rId34" display="link"/>
    <hyperlink ref="N36" r:id="rId35" display="link"/>
    <hyperlink ref="N37" r:id="rId36" display="link"/>
    <hyperlink ref="N38" r:id="rId37" display="link"/>
    <hyperlink ref="N39" r:id="rId38" display="link"/>
    <hyperlink ref="N40" r:id="rId39" display="link"/>
    <hyperlink ref="N41" r:id="rId40" display="link"/>
    <hyperlink ref="N42" r:id="rId41" display="link"/>
    <hyperlink ref="N43" r:id="rId42" display="link"/>
    <hyperlink ref="N44" r:id="rId43" display="link"/>
    <hyperlink ref="N45" r:id="rId44" display="link"/>
    <hyperlink ref="N46" r:id="rId45" display="link"/>
    <hyperlink ref="N47" r:id="rId46" display="link"/>
    <hyperlink ref="N48" r:id="rId47" display="link"/>
    <hyperlink ref="N49" r:id="rId48" display="link"/>
    <hyperlink ref="N50" r:id="rId49" display="link"/>
    <hyperlink ref="N51" r:id="rId50" display="link"/>
    <hyperlink ref="N52" r:id="rId51" display="link"/>
    <hyperlink ref="N53" r:id="rId52" display="link"/>
    <hyperlink ref="N54" r:id="rId53" display="link"/>
    <hyperlink ref="N55" r:id="rId54" display="link"/>
    <hyperlink ref="N56" r:id="rId55" display="link"/>
    <hyperlink ref="N57" r:id="rId56" display="link"/>
    <hyperlink ref="N58" r:id="rId57" display="link"/>
    <hyperlink ref="N59" r:id="rId58" display="link"/>
    <hyperlink ref="N60" r:id="rId59" display="link"/>
    <hyperlink ref="N61" r:id="rId60" display="link"/>
    <hyperlink ref="N62" r:id="rId61" display="link"/>
    <hyperlink ref="N63" r:id="rId62" display="link"/>
    <hyperlink ref="N64" r:id="rId63" display="link"/>
    <hyperlink ref="N65" r:id="rId64" display="link"/>
    <hyperlink ref="N66" r:id="rId65" display="link"/>
    <hyperlink ref="N67" r:id="rId66" display="link"/>
    <hyperlink ref="N68" r:id="rId67" display="link"/>
    <hyperlink ref="N69" r:id="rId68" display="link"/>
    <hyperlink ref="N70" r:id="rId69" display="link"/>
    <hyperlink ref="N71" r:id="rId70" display="link"/>
    <hyperlink ref="N72" r:id="rId71" display="link"/>
    <hyperlink ref="N73" r:id="rId72" display="link"/>
    <hyperlink ref="N74" r:id="rId73" display="link"/>
    <hyperlink ref="N75" r:id="rId74" display="link"/>
    <hyperlink ref="N76" r:id="rId75" display="link"/>
    <hyperlink ref="N77" r:id="rId76" display="link"/>
    <hyperlink ref="N78" r:id="rId77" display="link"/>
    <hyperlink ref="N79" r:id="rId78" display="link"/>
    <hyperlink ref="N80" r:id="rId79" display="link"/>
    <hyperlink ref="N81" r:id="rId80" display="link"/>
    <hyperlink ref="N82" r:id="rId81" display="link"/>
    <hyperlink ref="N83" r:id="rId82" display="link"/>
    <hyperlink ref="N84" r:id="rId83" display="link"/>
    <hyperlink ref="N85" r:id="rId84" display="link"/>
    <hyperlink ref="N86" r:id="rId85" display="link"/>
    <hyperlink ref="N87" r:id="rId86" display="link"/>
    <hyperlink ref="N88" r:id="rId87" display="link"/>
    <hyperlink ref="N89" r:id="rId88" display="link"/>
    <hyperlink ref="N90" r:id="rId89" display="link"/>
    <hyperlink ref="N91" r:id="rId90" display="link"/>
    <hyperlink ref="N92" r:id="rId91" display="link"/>
    <hyperlink ref="N93" r:id="rId92" display="link"/>
    <hyperlink ref="N94" r:id="rId93" display="link"/>
    <hyperlink ref="N95" r:id="rId94" display="link"/>
    <hyperlink ref="N96" r:id="rId95" display="link"/>
    <hyperlink ref="N97" r:id="rId96" display="link"/>
    <hyperlink ref="N98" r:id="rId97" display="link"/>
    <hyperlink ref="N99" r:id="rId98" display="link"/>
    <hyperlink ref="N100" r:id="rId99" display="link"/>
    <hyperlink ref="N101" r:id="rId100" display="link"/>
    <hyperlink ref="N102" r:id="rId101" display="link"/>
    <hyperlink ref="N103" r:id="rId102" display="link"/>
    <hyperlink ref="N104" r:id="rId103" display="link"/>
    <hyperlink ref="N105" r:id="rId104" display="link"/>
    <hyperlink ref="N106" r:id="rId105" display="link"/>
    <hyperlink ref="N107" r:id="rId106" display="link"/>
    <hyperlink ref="N108" r:id="rId107" display="link"/>
    <hyperlink ref="N109" r:id="rId108" display="link"/>
    <hyperlink ref="N110" r:id="rId109" display="link"/>
    <hyperlink ref="N111" r:id="rId110" display="link"/>
    <hyperlink ref="N112" r:id="rId111" display="link"/>
    <hyperlink ref="N113" r:id="rId112" display="link"/>
    <hyperlink ref="N114" r:id="rId113" display="link"/>
    <hyperlink ref="N115" r:id="rId114" display="link"/>
    <hyperlink ref="N116" r:id="rId115" display="link"/>
    <hyperlink ref="N117" r:id="rId116" display="link"/>
    <hyperlink ref="N118" r:id="rId117" display="link"/>
    <hyperlink ref="N119" r:id="rId118" display="link"/>
    <hyperlink ref="N120" r:id="rId119" display="link"/>
    <hyperlink ref="N121" r:id="rId120" display="link"/>
    <hyperlink ref="N122" r:id="rId121" display="link"/>
    <hyperlink ref="N123" r:id="rId122" display="link"/>
    <hyperlink ref="N124" r:id="rId123" display="link"/>
    <hyperlink ref="N125" r:id="rId124" display="link"/>
    <hyperlink ref="N126" r:id="rId125" display="link"/>
    <hyperlink ref="N127" r:id="rId126" display="link"/>
    <hyperlink ref="N128" r:id="rId127" display="link"/>
    <hyperlink ref="N129" r:id="rId128" display="link"/>
    <hyperlink ref="N130" r:id="rId129" display="link"/>
    <hyperlink ref="N131" r:id="rId130" display="link"/>
    <hyperlink ref="N132" r:id="rId131" display="link"/>
    <hyperlink ref="N133" r:id="rId132" display="link"/>
    <hyperlink ref="N134" r:id="rId133" display="link"/>
    <hyperlink ref="N135" r:id="rId134" display="link"/>
    <hyperlink ref="N136" r:id="rId135" display="link"/>
    <hyperlink ref="N137" r:id="rId136" display="link"/>
    <hyperlink ref="N138" r:id="rId137" display="link"/>
    <hyperlink ref="N139" r:id="rId138" display="link"/>
    <hyperlink ref="N140" r:id="rId139" display="link"/>
    <hyperlink ref="N141" r:id="rId140" display="link"/>
    <hyperlink ref="N142" r:id="rId141" display="link"/>
    <hyperlink ref="N143" r:id="rId142" display="link"/>
    <hyperlink ref="N144" r:id="rId143" display="link"/>
    <hyperlink ref="N145" r:id="rId144" display="link"/>
    <hyperlink ref="N146" r:id="rId145" display="link"/>
    <hyperlink ref="N147" r:id="rId146" display="link"/>
    <hyperlink ref="N148" r:id="rId147" display="link"/>
    <hyperlink ref="N149" r:id="rId148" display="link"/>
    <hyperlink ref="N150" r:id="rId149" display="link"/>
    <hyperlink ref="N151" r:id="rId150" display="link"/>
    <hyperlink ref="N152" r:id="rId151" display="link"/>
    <hyperlink ref="N153" r:id="rId152" display="link"/>
    <hyperlink ref="N154" r:id="rId153" display="link"/>
    <hyperlink ref="N155" r:id="rId154" display="link"/>
    <hyperlink ref="N156" r:id="rId155" display="link"/>
    <hyperlink ref="N157" r:id="rId156" display="link"/>
    <hyperlink ref="N158" r:id="rId157" display="link"/>
    <hyperlink ref="N159" r:id="rId158" display="link"/>
    <hyperlink ref="N160" r:id="rId159" display="link"/>
    <hyperlink ref="N161" r:id="rId160" display="link"/>
    <hyperlink ref="N162" r:id="rId161" display="link"/>
    <hyperlink ref="N163" r:id="rId162" display="link"/>
    <hyperlink ref="N164" r:id="rId163" display="link"/>
    <hyperlink ref="N165" r:id="rId164" display="link"/>
    <hyperlink ref="N166" r:id="rId165" display="link"/>
    <hyperlink ref="N167" r:id="rId166" display="link"/>
    <hyperlink ref="N168" r:id="rId167" display="link"/>
    <hyperlink ref="N169" r:id="rId168" display="link"/>
    <hyperlink ref="N170" r:id="rId169" display="link"/>
    <hyperlink ref="N171" r:id="rId170" display="link"/>
    <hyperlink ref="N172" r:id="rId171" display="link"/>
    <hyperlink ref="N173" r:id="rId172" display="link"/>
    <hyperlink ref="N174" r:id="rId173" display="link"/>
    <hyperlink ref="N175" r:id="rId174" display="link"/>
    <hyperlink ref="N176" r:id="rId175" display="link"/>
    <hyperlink ref="N177" r:id="rId176" display="link"/>
    <hyperlink ref="N178" r:id="rId177" display="link"/>
    <hyperlink ref="N179" r:id="rId178" display="link"/>
    <hyperlink ref="N180" r:id="rId179" display="link"/>
    <hyperlink ref="N181" r:id="rId180" display="link"/>
    <hyperlink ref="N182" r:id="rId181" display="link"/>
    <hyperlink ref="N183" r:id="rId182" display="link"/>
    <hyperlink ref="N184" r:id="rId183" display="link"/>
    <hyperlink ref="N185" r:id="rId184" display="link"/>
    <hyperlink ref="N186" r:id="rId185" display="link"/>
    <hyperlink ref="N187" r:id="rId186" display="link"/>
    <hyperlink ref="N188" r:id="rId187" display="link"/>
    <hyperlink ref="N189" r:id="rId188" display="link"/>
    <hyperlink ref="N190" r:id="rId189" display="link"/>
    <hyperlink ref="N191" r:id="rId190" display="link"/>
    <hyperlink ref="N192" r:id="rId191" display="link"/>
    <hyperlink ref="N193" r:id="rId192" display="link"/>
    <hyperlink ref="N194" r:id="rId193" display="link"/>
    <hyperlink ref="N195" r:id="rId194" display="link"/>
    <hyperlink ref="N196" r:id="rId195" display="link"/>
    <hyperlink ref="N197" r:id="rId196" display="link"/>
    <hyperlink ref="N198" r:id="rId197" display="link"/>
    <hyperlink ref="N199" r:id="rId198" display="link"/>
    <hyperlink ref="N200" r:id="rId199" display="link"/>
    <hyperlink ref="N201" r:id="rId200" display="link"/>
    <hyperlink ref="N202" r:id="rId201" display="link"/>
    <hyperlink ref="N203" r:id="rId202" display="link"/>
    <hyperlink ref="N204" r:id="rId203" display="link"/>
    <hyperlink ref="N205" r:id="rId204" display="link"/>
    <hyperlink ref="N206" r:id="rId205" display="link"/>
    <hyperlink ref="N207" r:id="rId206" display="link"/>
    <hyperlink ref="N208" r:id="rId207" display="link"/>
    <hyperlink ref="N209" r:id="rId208" display="link"/>
    <hyperlink ref="N210" r:id="rId209" display="link"/>
    <hyperlink ref="N211" r:id="rId210" display="link"/>
    <hyperlink ref="N212" r:id="rId211" display="link"/>
    <hyperlink ref="N213" r:id="rId212" display="link"/>
    <hyperlink ref="N214" r:id="rId213" display="link"/>
    <hyperlink ref="N215" r:id="rId214" display="link"/>
    <hyperlink ref="N216" r:id="rId215" display="link"/>
    <hyperlink ref="N217" r:id="rId216" display="link"/>
    <hyperlink ref="N218" r:id="rId217" display="link"/>
    <hyperlink ref="N219" r:id="rId218" display="link"/>
    <hyperlink ref="N220" r:id="rId219" display="link"/>
    <hyperlink ref="N221" r:id="rId220" display="link"/>
    <hyperlink ref="N222" r:id="rId221" display="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"/>
    <col collapsed="false" customWidth="true" hidden="false" outlineLevel="0" max="7" min="7" style="0" width="30"/>
    <col collapsed="false" customWidth="true" hidden="false" outlineLevel="0" max="8" min="8" style="0" width="8"/>
  </cols>
  <sheetData>
    <row r="1" customFormat="false" ht="16.15" hidden="false" customHeight="false" outlineLevel="0" collapsed="false">
      <c r="A1" s="12" t="s">
        <v>937</v>
      </c>
    </row>
    <row r="2" customFormat="false" ht="15" hidden="false" customHeight="false" outlineLevel="0" collapsed="false">
      <c r="A2" s="13" t="s">
        <v>938</v>
      </c>
      <c r="B2" s="13" t="n">
        <v>221</v>
      </c>
    </row>
    <row r="4" customFormat="false" ht="15" hidden="false" customHeight="false" outlineLevel="0" collapsed="false">
      <c r="A4" s="14" t="s">
        <v>939</v>
      </c>
      <c r="B4" s="14" t="s">
        <v>940</v>
      </c>
      <c r="D4" s="14" t="s">
        <v>16</v>
      </c>
      <c r="E4" s="14" t="s">
        <v>940</v>
      </c>
      <c r="G4" s="14" t="s">
        <v>941</v>
      </c>
      <c r="H4" s="14" t="s">
        <v>940</v>
      </c>
    </row>
    <row r="5" customFormat="false" ht="15" hidden="false" customHeight="false" outlineLevel="0" collapsed="false">
      <c r="A5" s="15" t="s">
        <v>131</v>
      </c>
      <c r="B5" s="15" t="n">
        <f aca="false">COUNTIF('All programs'!E2:E222,"*Solar PV*")</f>
        <v>89</v>
      </c>
      <c r="D5" s="15" t="s">
        <v>30</v>
      </c>
      <c r="E5" s="15" t="n">
        <f aca="false">COUNTIF('All programs'!F2:F222,"*Tax credit*")</f>
        <v>20</v>
      </c>
      <c r="G5" s="15" t="s">
        <v>942</v>
      </c>
      <c r="H5" s="15" t="n">
        <f aca="false">COUNTIF('All programs'!I2:I222,"*TERMINATED*")+COUNTIF('All programs'!I2:I222,"*CLOSED*")+COUNTIF('All programs'!I2:I222,"*Closed*")</f>
        <v>19</v>
      </c>
    </row>
    <row r="6" customFormat="false" ht="15" hidden="false" customHeight="false" outlineLevel="0" collapsed="false">
      <c r="A6" s="15" t="s">
        <v>161</v>
      </c>
      <c r="B6" s="15" t="n">
        <f aca="false">COUNTIF('All programs'!E2:E222,"*Battery storage*")</f>
        <v>22</v>
      </c>
      <c r="D6" s="15" t="s">
        <v>273</v>
      </c>
      <c r="E6" s="15" t="n">
        <f aca="false">COUNTIF('All programs'!F2:F222,"*Tax exemption*")</f>
        <v>19</v>
      </c>
      <c r="G6" s="15" t="s">
        <v>943</v>
      </c>
      <c r="H6" s="15" t="n">
        <f aca="false">COUNTIF('All programs'!I2:I222,"*ending*")+COUNTIF('All programs'!I2:I222,"*aunching*")+COUNTIF('All programs'!I2:I222,"*olling*")</f>
        <v>12</v>
      </c>
    </row>
    <row r="7" customFormat="false" ht="15" hidden="false" customHeight="false" outlineLevel="0" collapsed="false">
      <c r="A7" s="15" t="s">
        <v>180</v>
      </c>
      <c r="B7" s="15" t="n">
        <f aca="false">COUNTIF('All programs'!E2:E222,"*Electric vehicles*")</f>
        <v>19</v>
      </c>
      <c r="D7" s="15" t="s">
        <v>139</v>
      </c>
      <c r="E7" s="15" t="n">
        <f aca="false">COUNTIF('All programs'!F2:F222,"*Rebate*")</f>
        <v>107</v>
      </c>
      <c r="G7" s="15" t="s">
        <v>944</v>
      </c>
      <c r="H7" s="15" t="n">
        <f aca="false">COUNTIF('All programs'!I2:I222,"*aitlist*")+COUNTIF('All programs'!I2:I222,"*eserved*")+COUNTIF('All programs'!I2:I222,"*eplet*")</f>
        <v>10</v>
      </c>
    </row>
    <row r="8" customFormat="false" ht="15" hidden="false" customHeight="false" outlineLevel="0" collapsed="false">
      <c r="A8" s="15" t="s">
        <v>52</v>
      </c>
      <c r="B8" s="15" t="n">
        <f aca="false">COUNTIF('All programs'!E2:E222,"*EV chargers*")</f>
        <v>9</v>
      </c>
      <c r="D8" s="15" t="s">
        <v>99</v>
      </c>
      <c r="E8" s="15" t="n">
        <f aca="false">COUNTIF('All programs'!F2:F222,"*Grant*")</f>
        <v>13</v>
      </c>
      <c r="G8" s="15" t="s">
        <v>945</v>
      </c>
      <c r="H8" s="15" t="n">
        <f aca="false">COUNTIF('All programs'!J2:J222,"Y")</f>
        <v>193</v>
      </c>
    </row>
    <row r="9" customFormat="false" ht="15" hidden="false" customHeight="false" outlineLevel="0" collapsed="false">
      <c r="A9" s="15" t="s">
        <v>138</v>
      </c>
      <c r="B9" s="15" t="n">
        <f aca="false">COUNTIF('All programs'!E2:E222,"*Heat pumps*")</f>
        <v>56</v>
      </c>
      <c r="D9" s="15" t="s">
        <v>245</v>
      </c>
      <c r="E9" s="15" t="n">
        <f aca="false">COUNTIF('All programs'!F2:F222,"*Loan*")</f>
        <v>8</v>
      </c>
      <c r="G9" s="15" t="s">
        <v>946</v>
      </c>
      <c r="H9" s="15" t="n">
        <f aca="false">COUNTIF('All programs'!K2:K222,"Y")</f>
        <v>52</v>
      </c>
    </row>
    <row r="10" customFormat="false" ht="15" hidden="false" customHeight="false" outlineLevel="0" collapsed="false">
      <c r="A10" s="15" t="s">
        <v>143</v>
      </c>
      <c r="B10" s="15" t="n">
        <f aca="false">COUNTIF('All programs'!E2:E222,"*HPWH*")</f>
        <v>19</v>
      </c>
      <c r="D10" s="15" t="s">
        <v>132</v>
      </c>
      <c r="E10" s="15" t="n">
        <f aca="false">COUNTIF('All programs'!F2:F222,"*Net metering*")</f>
        <v>30</v>
      </c>
      <c r="G10" s="15" t="s">
        <v>947</v>
      </c>
      <c r="H10" s="15" t="n">
        <f aca="false">COUNTIF('All programs'!L2:L222,"Y")</f>
        <v>108</v>
      </c>
    </row>
    <row r="11" customFormat="false" ht="15" hidden="false" customHeight="false" outlineLevel="0" collapsed="false">
      <c r="A11" s="15" t="s">
        <v>146</v>
      </c>
      <c r="B11" s="15" t="n">
        <f aca="false">COUNTIF('All programs'!E2:E222,"*Weatherization*")</f>
        <v>38</v>
      </c>
      <c r="D11" s="15" t="s">
        <v>400</v>
      </c>
      <c r="E11" s="15" t="n">
        <f aca="false">COUNTIF('All programs'!F2:F222,"*Net billing*")</f>
        <v>9</v>
      </c>
      <c r="G11" s="15" t="s">
        <v>948</v>
      </c>
      <c r="H11" s="15" t="n">
        <f aca="false">COUNTIF('All programs'!M2:M222,"Y")</f>
        <v>47</v>
      </c>
    </row>
    <row r="12" customFormat="false" ht="15" hidden="false" customHeight="false" outlineLevel="0" collapsed="false">
      <c r="A12" s="15" t="s">
        <v>149</v>
      </c>
      <c r="B12" s="15" t="n">
        <f aca="false">COUNTIF('All programs'!E2:E222,"*Appliances*")</f>
        <v>31</v>
      </c>
      <c r="D12" s="15" t="s">
        <v>949</v>
      </c>
      <c r="E12" s="15" t="n">
        <f aca="false">COUNTIF('All programs'!F2:F222,"*Performance*")</f>
        <v>21</v>
      </c>
      <c r="G12" s="15" t="s">
        <v>950</v>
      </c>
      <c r="H12" s="15" t="n">
        <f aca="false">SUMPRODUCT(('All programs'!J2:J222="Y")*('All programs'!K2:K222="Y")*('All programs'!L2:L222="Y")*('All programs'!M2:M222="Y"))</f>
        <v>21</v>
      </c>
    </row>
    <row r="13" customFormat="false" ht="15" hidden="false" customHeight="false" outlineLevel="0" collapsed="false">
      <c r="A13" s="15" t="s">
        <v>951</v>
      </c>
      <c r="B13" s="15" t="n">
        <f aca="false">COUNTIF('All programs'!E2:E222,"*Panel*")</f>
        <v>17</v>
      </c>
      <c r="D13" s="15" t="s">
        <v>952</v>
      </c>
      <c r="E13" s="15" t="n">
        <f aca="false">COUNTIF('All programs'!F2:F222,"*Subsidy*")</f>
        <v>4</v>
      </c>
    </row>
    <row r="14" customFormat="false" ht="15" hidden="false" customHeight="false" outlineLevel="0" collapsed="false">
      <c r="A14" s="15" t="s">
        <v>637</v>
      </c>
      <c r="B14" s="15" t="n">
        <f aca="false">COUNTIF('All programs'!E2:E222,"*Water efficiency*")</f>
        <v>5</v>
      </c>
      <c r="D14" s="15" t="s">
        <v>953</v>
      </c>
      <c r="E14" s="15" t="n">
        <f aca="false">COUNTIF('All programs'!F2:F222,"*Deduction*")</f>
        <v>1</v>
      </c>
    </row>
    <row r="15" customFormat="false" ht="15" hidden="false" customHeight="false" outlineLevel="0" collapsed="false">
      <c r="A15" s="15" t="s">
        <v>569</v>
      </c>
      <c r="B15" s="15" t="n">
        <f aca="false">COUNTIF('All programs'!E2:E222,"*Broadband*")</f>
        <v>5</v>
      </c>
    </row>
    <row r="16" customFormat="false" ht="15" hidden="false" customHeight="false" outlineLevel="0" collapsed="false">
      <c r="A16" s="15" t="s">
        <v>954</v>
      </c>
      <c r="B16" s="15" t="n">
        <f aca="false">COUNTIF('All programs'!E2:E222,"*Smart thermostat*")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2026-06-16T21:49:10Z</dcterms:created>
  <dc:creator>openpyxl</dc:creator>
  <dc:description/>
  <dc:language>en-US</dc:language>
  <cp:lastModifiedBy/>
  <dcterms:modified xsi:type="dcterms:W3CDTF">2026-06-16T21:49:10Z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